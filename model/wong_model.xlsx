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finplan\finplan\model\"/>
    </mc:Choice>
  </mc:AlternateContent>
  <xr:revisionPtr revIDLastSave="0" documentId="13_ncr:1_{8D8E23D6-C4E4-4BE9-9ED1-5271BC2B6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s" sheetId="1" r:id="rId1"/>
    <sheet name="BalanceSheet" sheetId="2" r:id="rId2"/>
    <sheet name="Tax" sheetId="3" r:id="rId3"/>
    <sheet name="Medical" sheetId="4" r:id="rId4"/>
    <sheet name="Projection" sheetId="5" r:id="rId5"/>
    <sheet name="Outpu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6" l="1"/>
  <c r="T50" i="5"/>
  <c r="P50" i="5"/>
  <c r="O50" i="5"/>
  <c r="M50" i="5"/>
  <c r="L50" i="5"/>
  <c r="K50" i="5"/>
  <c r="G50" i="5"/>
  <c r="F50" i="5"/>
  <c r="E50" i="5"/>
  <c r="I50" i="5" s="1"/>
  <c r="D50" i="5"/>
  <c r="C50" i="5"/>
  <c r="B50" i="5"/>
  <c r="T49" i="5"/>
  <c r="P49" i="5"/>
  <c r="O49" i="5"/>
  <c r="M49" i="5"/>
  <c r="L49" i="5"/>
  <c r="K49" i="5"/>
  <c r="G49" i="5"/>
  <c r="F49" i="5"/>
  <c r="E49" i="5"/>
  <c r="I49" i="5" s="1"/>
  <c r="D49" i="5"/>
  <c r="C49" i="5"/>
  <c r="B49" i="5"/>
  <c r="T48" i="5"/>
  <c r="P48" i="5"/>
  <c r="O48" i="5"/>
  <c r="M48" i="5"/>
  <c r="L48" i="5"/>
  <c r="K48" i="5"/>
  <c r="G48" i="5"/>
  <c r="F48" i="5"/>
  <c r="E48" i="5"/>
  <c r="I48" i="5" s="1"/>
  <c r="D48" i="5"/>
  <c r="C48" i="5"/>
  <c r="B48" i="5"/>
  <c r="T47" i="5"/>
  <c r="P47" i="5"/>
  <c r="O47" i="5"/>
  <c r="M47" i="5"/>
  <c r="L47" i="5"/>
  <c r="K47" i="5"/>
  <c r="G47" i="5"/>
  <c r="F47" i="5"/>
  <c r="E47" i="5"/>
  <c r="I47" i="5" s="1"/>
  <c r="D47" i="5"/>
  <c r="C47" i="5"/>
  <c r="B47" i="5"/>
  <c r="T46" i="5"/>
  <c r="P46" i="5"/>
  <c r="O46" i="5"/>
  <c r="M46" i="5"/>
  <c r="L46" i="5"/>
  <c r="K46" i="5"/>
  <c r="G46" i="5"/>
  <c r="F46" i="5"/>
  <c r="E46" i="5"/>
  <c r="I46" i="5" s="1"/>
  <c r="D46" i="5"/>
  <c r="C46" i="5"/>
  <c r="B46" i="5"/>
  <c r="T45" i="5"/>
  <c r="P45" i="5"/>
  <c r="O45" i="5"/>
  <c r="M45" i="5"/>
  <c r="L45" i="5"/>
  <c r="K45" i="5"/>
  <c r="G45" i="5"/>
  <c r="F45" i="5"/>
  <c r="E45" i="5"/>
  <c r="I45" i="5" s="1"/>
  <c r="D45" i="5"/>
  <c r="C45" i="5"/>
  <c r="B45" i="5"/>
  <c r="T44" i="5"/>
  <c r="P44" i="5"/>
  <c r="O44" i="5"/>
  <c r="M44" i="5"/>
  <c r="L44" i="5"/>
  <c r="K44" i="5"/>
  <c r="G44" i="5"/>
  <c r="F44" i="5"/>
  <c r="E44" i="5"/>
  <c r="I44" i="5" s="1"/>
  <c r="D44" i="5"/>
  <c r="C44" i="5"/>
  <c r="B44" i="5"/>
  <c r="T43" i="5"/>
  <c r="P43" i="5"/>
  <c r="O43" i="5"/>
  <c r="M43" i="5"/>
  <c r="L43" i="5"/>
  <c r="K43" i="5"/>
  <c r="G43" i="5"/>
  <c r="F43" i="5"/>
  <c r="E43" i="5"/>
  <c r="I43" i="5" s="1"/>
  <c r="D43" i="5"/>
  <c r="C43" i="5"/>
  <c r="B43" i="5"/>
  <c r="T42" i="5"/>
  <c r="P42" i="5"/>
  <c r="O42" i="5"/>
  <c r="M42" i="5"/>
  <c r="L42" i="5"/>
  <c r="K42" i="5"/>
  <c r="G42" i="5"/>
  <c r="F42" i="5"/>
  <c r="E42" i="5"/>
  <c r="I42" i="5" s="1"/>
  <c r="D42" i="5"/>
  <c r="C42" i="5"/>
  <c r="B42" i="5"/>
  <c r="T41" i="5"/>
  <c r="P41" i="5"/>
  <c r="O41" i="5"/>
  <c r="M41" i="5"/>
  <c r="L41" i="5"/>
  <c r="K41" i="5"/>
  <c r="G41" i="5"/>
  <c r="F41" i="5"/>
  <c r="E41" i="5"/>
  <c r="I41" i="5" s="1"/>
  <c r="D41" i="5"/>
  <c r="C41" i="5"/>
  <c r="B41" i="5"/>
  <c r="T40" i="5"/>
  <c r="P40" i="5"/>
  <c r="O40" i="5"/>
  <c r="M40" i="5"/>
  <c r="L40" i="5"/>
  <c r="K40" i="5"/>
  <c r="G40" i="5"/>
  <c r="F40" i="5"/>
  <c r="E40" i="5"/>
  <c r="I40" i="5" s="1"/>
  <c r="D40" i="5"/>
  <c r="C40" i="5"/>
  <c r="B40" i="5"/>
  <c r="T39" i="5"/>
  <c r="P39" i="5"/>
  <c r="O39" i="5"/>
  <c r="M39" i="5"/>
  <c r="L39" i="5"/>
  <c r="K39" i="5"/>
  <c r="G39" i="5"/>
  <c r="F39" i="5"/>
  <c r="E39" i="5"/>
  <c r="I39" i="5" s="1"/>
  <c r="D39" i="5"/>
  <c r="C39" i="5"/>
  <c r="B39" i="5"/>
  <c r="T38" i="5"/>
  <c r="P38" i="5"/>
  <c r="O38" i="5"/>
  <c r="M38" i="5"/>
  <c r="L38" i="5"/>
  <c r="K38" i="5"/>
  <c r="G38" i="5"/>
  <c r="F38" i="5"/>
  <c r="E38" i="5"/>
  <c r="I38" i="5" s="1"/>
  <c r="D38" i="5"/>
  <c r="C38" i="5"/>
  <c r="B38" i="5"/>
  <c r="T37" i="5"/>
  <c r="P37" i="5"/>
  <c r="O37" i="5"/>
  <c r="M37" i="5"/>
  <c r="L37" i="5"/>
  <c r="K37" i="5"/>
  <c r="G37" i="5"/>
  <c r="F37" i="5"/>
  <c r="E37" i="5"/>
  <c r="I37" i="5" s="1"/>
  <c r="D37" i="5"/>
  <c r="C37" i="5"/>
  <c r="B37" i="5"/>
  <c r="T36" i="5"/>
  <c r="P36" i="5"/>
  <c r="O36" i="5"/>
  <c r="M36" i="5"/>
  <c r="L36" i="5"/>
  <c r="K36" i="5"/>
  <c r="G36" i="5"/>
  <c r="F36" i="5"/>
  <c r="E36" i="5"/>
  <c r="I36" i="5" s="1"/>
  <c r="D36" i="5"/>
  <c r="C36" i="5"/>
  <c r="B36" i="5"/>
  <c r="T35" i="5"/>
  <c r="P35" i="5"/>
  <c r="O35" i="5"/>
  <c r="M35" i="5"/>
  <c r="L35" i="5"/>
  <c r="K35" i="5"/>
  <c r="G35" i="5"/>
  <c r="F35" i="5"/>
  <c r="E35" i="5"/>
  <c r="I35" i="5" s="1"/>
  <c r="D35" i="5"/>
  <c r="C35" i="5"/>
  <c r="B35" i="5"/>
  <c r="T34" i="5"/>
  <c r="P34" i="5"/>
  <c r="O34" i="5"/>
  <c r="M34" i="5"/>
  <c r="L34" i="5"/>
  <c r="K34" i="5"/>
  <c r="G34" i="5"/>
  <c r="F34" i="5"/>
  <c r="E34" i="5"/>
  <c r="I34" i="5" s="1"/>
  <c r="D34" i="5"/>
  <c r="C34" i="5"/>
  <c r="B34" i="5"/>
  <c r="T33" i="5"/>
  <c r="P33" i="5"/>
  <c r="O33" i="5"/>
  <c r="M33" i="5"/>
  <c r="L33" i="5"/>
  <c r="K33" i="5"/>
  <c r="G33" i="5"/>
  <c r="F33" i="5"/>
  <c r="E33" i="5"/>
  <c r="I33" i="5" s="1"/>
  <c r="D33" i="5"/>
  <c r="C33" i="5"/>
  <c r="B33" i="5"/>
  <c r="T32" i="5"/>
  <c r="P32" i="5"/>
  <c r="O32" i="5"/>
  <c r="M32" i="5"/>
  <c r="L32" i="5"/>
  <c r="K32" i="5"/>
  <c r="G32" i="5"/>
  <c r="F32" i="5"/>
  <c r="E32" i="5"/>
  <c r="I32" i="5" s="1"/>
  <c r="D32" i="5"/>
  <c r="C32" i="5"/>
  <c r="B32" i="5"/>
  <c r="T31" i="5"/>
  <c r="P31" i="5"/>
  <c r="O31" i="5"/>
  <c r="M31" i="5"/>
  <c r="L31" i="5"/>
  <c r="K31" i="5"/>
  <c r="G31" i="5"/>
  <c r="F31" i="5"/>
  <c r="E31" i="5"/>
  <c r="I31" i="5" s="1"/>
  <c r="D31" i="5"/>
  <c r="C31" i="5"/>
  <c r="B31" i="5"/>
  <c r="T30" i="5"/>
  <c r="P30" i="5"/>
  <c r="O30" i="5"/>
  <c r="M30" i="5"/>
  <c r="L30" i="5"/>
  <c r="K30" i="5"/>
  <c r="G30" i="5"/>
  <c r="F30" i="5"/>
  <c r="E30" i="5"/>
  <c r="I30" i="5" s="1"/>
  <c r="D30" i="5"/>
  <c r="C30" i="5"/>
  <c r="B30" i="5"/>
  <c r="T29" i="5"/>
  <c r="P29" i="5"/>
  <c r="O29" i="5"/>
  <c r="M29" i="5"/>
  <c r="L29" i="5"/>
  <c r="K29" i="5"/>
  <c r="G29" i="5"/>
  <c r="F29" i="5"/>
  <c r="E29" i="5"/>
  <c r="I29" i="5" s="1"/>
  <c r="D29" i="5"/>
  <c r="C29" i="5"/>
  <c r="B29" i="5"/>
  <c r="T28" i="5"/>
  <c r="P28" i="5"/>
  <c r="O28" i="5"/>
  <c r="M28" i="5"/>
  <c r="L28" i="5"/>
  <c r="K28" i="5"/>
  <c r="G28" i="5"/>
  <c r="F28" i="5"/>
  <c r="E28" i="5"/>
  <c r="I28" i="5" s="1"/>
  <c r="D28" i="5"/>
  <c r="C28" i="5"/>
  <c r="B28" i="5"/>
  <c r="T27" i="5"/>
  <c r="P27" i="5"/>
  <c r="O27" i="5"/>
  <c r="M27" i="5"/>
  <c r="L27" i="5"/>
  <c r="K27" i="5"/>
  <c r="G27" i="5"/>
  <c r="F27" i="5"/>
  <c r="E27" i="5"/>
  <c r="I27" i="5" s="1"/>
  <c r="D27" i="5"/>
  <c r="C27" i="5"/>
  <c r="B27" i="5"/>
  <c r="T26" i="5"/>
  <c r="P26" i="5"/>
  <c r="O26" i="5"/>
  <c r="M26" i="5"/>
  <c r="L26" i="5"/>
  <c r="K26" i="5"/>
  <c r="G26" i="5"/>
  <c r="F26" i="5"/>
  <c r="E26" i="5"/>
  <c r="I26" i="5" s="1"/>
  <c r="D26" i="5"/>
  <c r="C26" i="5"/>
  <c r="B26" i="5"/>
  <c r="T25" i="5"/>
  <c r="P25" i="5"/>
  <c r="O25" i="5"/>
  <c r="M25" i="5"/>
  <c r="L25" i="5"/>
  <c r="K25" i="5"/>
  <c r="G25" i="5"/>
  <c r="F25" i="5"/>
  <c r="E25" i="5"/>
  <c r="I25" i="5" s="1"/>
  <c r="D25" i="5"/>
  <c r="C25" i="5"/>
  <c r="B25" i="5"/>
  <c r="T24" i="5"/>
  <c r="P24" i="5"/>
  <c r="O24" i="5"/>
  <c r="M24" i="5"/>
  <c r="L24" i="5"/>
  <c r="K24" i="5"/>
  <c r="G24" i="5"/>
  <c r="F24" i="5"/>
  <c r="E24" i="5"/>
  <c r="I24" i="5" s="1"/>
  <c r="D24" i="5"/>
  <c r="C24" i="5"/>
  <c r="B24" i="5"/>
  <c r="T23" i="5"/>
  <c r="P23" i="5"/>
  <c r="O23" i="5"/>
  <c r="M23" i="5"/>
  <c r="L23" i="5"/>
  <c r="K23" i="5"/>
  <c r="G23" i="5"/>
  <c r="F23" i="5"/>
  <c r="E23" i="5"/>
  <c r="I23" i="5" s="1"/>
  <c r="D23" i="5"/>
  <c r="C23" i="5"/>
  <c r="B23" i="5"/>
  <c r="T22" i="5"/>
  <c r="P22" i="5"/>
  <c r="O22" i="5"/>
  <c r="M22" i="5"/>
  <c r="L22" i="5"/>
  <c r="K22" i="5"/>
  <c r="G22" i="5"/>
  <c r="F22" i="5"/>
  <c r="E22" i="5"/>
  <c r="I22" i="5" s="1"/>
  <c r="D22" i="5"/>
  <c r="C22" i="5"/>
  <c r="B22" i="5"/>
  <c r="T21" i="5"/>
  <c r="P21" i="5"/>
  <c r="O21" i="5"/>
  <c r="M21" i="5"/>
  <c r="L21" i="5"/>
  <c r="K21" i="5"/>
  <c r="G21" i="5"/>
  <c r="F21" i="5"/>
  <c r="E21" i="5"/>
  <c r="I21" i="5" s="1"/>
  <c r="D21" i="5"/>
  <c r="C21" i="5"/>
  <c r="B21" i="5"/>
  <c r="T20" i="5"/>
  <c r="P20" i="5"/>
  <c r="O20" i="5"/>
  <c r="M20" i="5"/>
  <c r="L20" i="5"/>
  <c r="K20" i="5"/>
  <c r="G20" i="5"/>
  <c r="F20" i="5"/>
  <c r="E20" i="5"/>
  <c r="I20" i="5" s="1"/>
  <c r="D20" i="5"/>
  <c r="C20" i="5"/>
  <c r="B20" i="5"/>
  <c r="T19" i="5"/>
  <c r="P19" i="5"/>
  <c r="O19" i="5"/>
  <c r="M19" i="5"/>
  <c r="L19" i="5"/>
  <c r="K19" i="5"/>
  <c r="G19" i="5"/>
  <c r="F19" i="5"/>
  <c r="E19" i="5"/>
  <c r="I19" i="5" s="1"/>
  <c r="D19" i="5"/>
  <c r="C19" i="5"/>
  <c r="B19" i="5"/>
  <c r="T18" i="5"/>
  <c r="P18" i="5"/>
  <c r="O18" i="5"/>
  <c r="M18" i="5"/>
  <c r="L18" i="5"/>
  <c r="K18" i="5"/>
  <c r="G18" i="5"/>
  <c r="F18" i="5"/>
  <c r="E18" i="5"/>
  <c r="I18" i="5" s="1"/>
  <c r="D18" i="5"/>
  <c r="C18" i="5"/>
  <c r="B18" i="5"/>
  <c r="T17" i="5"/>
  <c r="P17" i="5"/>
  <c r="O17" i="5"/>
  <c r="M17" i="5"/>
  <c r="L17" i="5"/>
  <c r="K17" i="5"/>
  <c r="G17" i="5"/>
  <c r="F17" i="5"/>
  <c r="E17" i="5"/>
  <c r="I17" i="5" s="1"/>
  <c r="D17" i="5"/>
  <c r="C17" i="5"/>
  <c r="B17" i="5"/>
  <c r="T16" i="5"/>
  <c r="P16" i="5"/>
  <c r="O16" i="5"/>
  <c r="M16" i="5"/>
  <c r="L16" i="5"/>
  <c r="K16" i="5"/>
  <c r="G16" i="5"/>
  <c r="F16" i="5"/>
  <c r="E16" i="5"/>
  <c r="D16" i="5"/>
  <c r="C16" i="5"/>
  <c r="B16" i="5"/>
  <c r="T15" i="5"/>
  <c r="P15" i="5"/>
  <c r="O15" i="5"/>
  <c r="M15" i="5"/>
  <c r="L15" i="5"/>
  <c r="K15" i="5"/>
  <c r="G15" i="5"/>
  <c r="F15" i="5"/>
  <c r="E15" i="5"/>
  <c r="D15" i="5"/>
  <c r="C15" i="5"/>
  <c r="B15" i="5"/>
  <c r="T14" i="5"/>
  <c r="P14" i="5"/>
  <c r="O14" i="5"/>
  <c r="M14" i="5"/>
  <c r="L14" i="5"/>
  <c r="K14" i="5"/>
  <c r="G14" i="5"/>
  <c r="F14" i="5"/>
  <c r="E14" i="5"/>
  <c r="D14" i="5"/>
  <c r="C14" i="5"/>
  <c r="B14" i="5"/>
  <c r="T13" i="5"/>
  <c r="P13" i="5"/>
  <c r="O13" i="5"/>
  <c r="M13" i="5"/>
  <c r="L13" i="5"/>
  <c r="K13" i="5"/>
  <c r="G13" i="5"/>
  <c r="F13" i="5"/>
  <c r="E13" i="5"/>
  <c r="D13" i="5"/>
  <c r="C13" i="5"/>
  <c r="B13" i="5"/>
  <c r="T12" i="5"/>
  <c r="P12" i="5"/>
  <c r="O12" i="5"/>
  <c r="M12" i="5"/>
  <c r="L12" i="5"/>
  <c r="K12" i="5"/>
  <c r="G12" i="5"/>
  <c r="F12" i="5"/>
  <c r="E12" i="5"/>
  <c r="D12" i="5"/>
  <c r="C12" i="5"/>
  <c r="B12" i="5"/>
  <c r="T11" i="5"/>
  <c r="P11" i="5"/>
  <c r="O11" i="5"/>
  <c r="M11" i="5"/>
  <c r="L11" i="5"/>
  <c r="K11" i="5"/>
  <c r="G11" i="5"/>
  <c r="F11" i="5"/>
  <c r="E11" i="5"/>
  <c r="D11" i="5"/>
  <c r="C11" i="5"/>
  <c r="B11" i="5"/>
  <c r="T10" i="5"/>
  <c r="P10" i="5"/>
  <c r="O10" i="5"/>
  <c r="M10" i="5"/>
  <c r="L10" i="5"/>
  <c r="K10" i="5"/>
  <c r="G10" i="5"/>
  <c r="F10" i="5"/>
  <c r="E10" i="5"/>
  <c r="D10" i="5"/>
  <c r="C10" i="5"/>
  <c r="B10" i="5"/>
  <c r="T9" i="5"/>
  <c r="P9" i="5"/>
  <c r="O9" i="5"/>
  <c r="M9" i="5"/>
  <c r="L9" i="5"/>
  <c r="K9" i="5"/>
  <c r="G9" i="5"/>
  <c r="F9" i="5"/>
  <c r="E9" i="5"/>
  <c r="D9" i="5"/>
  <c r="C9" i="5"/>
  <c r="B9" i="5"/>
  <c r="T8" i="5"/>
  <c r="P8" i="5"/>
  <c r="O8" i="5"/>
  <c r="M8" i="5"/>
  <c r="L8" i="5"/>
  <c r="K8" i="5"/>
  <c r="G8" i="5"/>
  <c r="F8" i="5"/>
  <c r="E8" i="5"/>
  <c r="D8" i="5"/>
  <c r="C8" i="5"/>
  <c r="B8" i="5"/>
  <c r="T7" i="5"/>
  <c r="P7" i="5"/>
  <c r="O7" i="5"/>
  <c r="M7" i="5"/>
  <c r="L7" i="5"/>
  <c r="K7" i="5"/>
  <c r="G7" i="5"/>
  <c r="F7" i="5"/>
  <c r="E7" i="5"/>
  <c r="D7" i="5"/>
  <c r="C7" i="5"/>
  <c r="B7" i="5"/>
  <c r="T6" i="5"/>
  <c r="P6" i="5"/>
  <c r="O6" i="5"/>
  <c r="M6" i="5"/>
  <c r="L6" i="5"/>
  <c r="K6" i="5"/>
  <c r="G6" i="5"/>
  <c r="F6" i="5"/>
  <c r="E6" i="5"/>
  <c r="D6" i="5"/>
  <c r="C6" i="5"/>
  <c r="B6" i="5"/>
  <c r="T5" i="5"/>
  <c r="P5" i="5"/>
  <c r="O5" i="5"/>
  <c r="M5" i="5"/>
  <c r="L5" i="5"/>
  <c r="K5" i="5"/>
  <c r="G5" i="5"/>
  <c r="F5" i="5"/>
  <c r="E5" i="5"/>
  <c r="D5" i="5"/>
  <c r="C5" i="5"/>
  <c r="B5" i="5"/>
  <c r="T4" i="5"/>
  <c r="P4" i="5"/>
  <c r="O4" i="5"/>
  <c r="M4" i="5"/>
  <c r="L4" i="5"/>
  <c r="B24" i="6" s="1"/>
  <c r="K4" i="5"/>
  <c r="G4" i="5"/>
  <c r="F4" i="5"/>
  <c r="E4" i="5"/>
  <c r="D4" i="5"/>
  <c r="C4" i="5"/>
  <c r="B4" i="5"/>
  <c r="I109" i="4"/>
  <c r="F109" i="4"/>
  <c r="D109" i="4"/>
  <c r="C109" i="4"/>
  <c r="B109" i="4"/>
  <c r="I108" i="4"/>
  <c r="F108" i="4"/>
  <c r="D108" i="4"/>
  <c r="C108" i="4"/>
  <c r="B108" i="4"/>
  <c r="I107" i="4"/>
  <c r="F107" i="4"/>
  <c r="D107" i="4"/>
  <c r="C107" i="4"/>
  <c r="B107" i="4"/>
  <c r="I106" i="4"/>
  <c r="F106" i="4"/>
  <c r="D106" i="4"/>
  <c r="C106" i="4"/>
  <c r="B106" i="4"/>
  <c r="I105" i="4"/>
  <c r="F105" i="4"/>
  <c r="D105" i="4"/>
  <c r="C105" i="4"/>
  <c r="B105" i="4"/>
  <c r="I104" i="4"/>
  <c r="F104" i="4"/>
  <c r="D104" i="4"/>
  <c r="C104" i="4"/>
  <c r="B104" i="4"/>
  <c r="I103" i="4"/>
  <c r="F103" i="4"/>
  <c r="D103" i="4"/>
  <c r="C103" i="4"/>
  <c r="B103" i="4"/>
  <c r="I102" i="4"/>
  <c r="F102" i="4"/>
  <c r="D102" i="4"/>
  <c r="C102" i="4"/>
  <c r="B102" i="4"/>
  <c r="I101" i="4"/>
  <c r="F101" i="4"/>
  <c r="D101" i="4"/>
  <c r="C101" i="4"/>
  <c r="B101" i="4"/>
  <c r="I100" i="4"/>
  <c r="F100" i="4"/>
  <c r="D100" i="4"/>
  <c r="C100" i="4"/>
  <c r="B100" i="4"/>
  <c r="I99" i="4"/>
  <c r="F99" i="4"/>
  <c r="D99" i="4"/>
  <c r="C99" i="4"/>
  <c r="B99" i="4"/>
  <c r="I98" i="4"/>
  <c r="F98" i="4"/>
  <c r="D98" i="4"/>
  <c r="C98" i="4"/>
  <c r="B98" i="4"/>
  <c r="I97" i="4"/>
  <c r="F97" i="4"/>
  <c r="D97" i="4"/>
  <c r="C97" i="4"/>
  <c r="B97" i="4"/>
  <c r="I96" i="4"/>
  <c r="F96" i="4"/>
  <c r="D96" i="4"/>
  <c r="C96" i="4"/>
  <c r="B96" i="4"/>
  <c r="I95" i="4"/>
  <c r="F95" i="4"/>
  <c r="D95" i="4"/>
  <c r="C95" i="4"/>
  <c r="B95" i="4"/>
  <c r="I94" i="4"/>
  <c r="F94" i="4"/>
  <c r="D94" i="4"/>
  <c r="C94" i="4"/>
  <c r="B94" i="4"/>
  <c r="I93" i="4"/>
  <c r="D93" i="4"/>
  <c r="C93" i="4"/>
  <c r="B93" i="4"/>
  <c r="I92" i="4"/>
  <c r="D92" i="4"/>
  <c r="C92" i="4"/>
  <c r="B92" i="4"/>
  <c r="I91" i="4"/>
  <c r="D91" i="4"/>
  <c r="C91" i="4"/>
  <c r="B91" i="4"/>
  <c r="I90" i="4"/>
  <c r="D90" i="4"/>
  <c r="C90" i="4"/>
  <c r="B90" i="4"/>
  <c r="I89" i="4"/>
  <c r="D89" i="4"/>
  <c r="C89" i="4"/>
  <c r="B89" i="4"/>
  <c r="F89" i="4" s="1"/>
  <c r="I88" i="4"/>
  <c r="D88" i="4"/>
  <c r="C88" i="4"/>
  <c r="B88" i="4"/>
  <c r="F88" i="4" s="1"/>
  <c r="I87" i="4"/>
  <c r="D87" i="4"/>
  <c r="C87" i="4"/>
  <c r="B87" i="4"/>
  <c r="I86" i="4"/>
  <c r="D86" i="4"/>
  <c r="C86" i="4"/>
  <c r="B86" i="4"/>
  <c r="I85" i="4"/>
  <c r="D85" i="4"/>
  <c r="C85" i="4"/>
  <c r="B85" i="4"/>
  <c r="I84" i="4"/>
  <c r="D84" i="4"/>
  <c r="C84" i="4"/>
  <c r="B84" i="4"/>
  <c r="I83" i="4"/>
  <c r="D83" i="4"/>
  <c r="C83" i="4"/>
  <c r="B83" i="4"/>
  <c r="I82" i="4"/>
  <c r="D82" i="4"/>
  <c r="C82" i="4"/>
  <c r="B82" i="4"/>
  <c r="I81" i="4"/>
  <c r="D81" i="4"/>
  <c r="C81" i="4"/>
  <c r="B81" i="4"/>
  <c r="I80" i="4"/>
  <c r="D80" i="4"/>
  <c r="C80" i="4"/>
  <c r="B80" i="4"/>
  <c r="I79" i="4"/>
  <c r="D79" i="4"/>
  <c r="C79" i="4"/>
  <c r="B79" i="4"/>
  <c r="I78" i="4"/>
  <c r="D78" i="4"/>
  <c r="C78" i="4"/>
  <c r="B78" i="4"/>
  <c r="I77" i="4"/>
  <c r="D77" i="4"/>
  <c r="C77" i="4"/>
  <c r="B77" i="4"/>
  <c r="I76" i="4"/>
  <c r="D76" i="4"/>
  <c r="C76" i="4"/>
  <c r="B76" i="4"/>
  <c r="I75" i="4"/>
  <c r="G75" i="4"/>
  <c r="D75" i="4"/>
  <c r="C75" i="4"/>
  <c r="B75" i="4"/>
  <c r="I74" i="4"/>
  <c r="G74" i="4"/>
  <c r="D74" i="4"/>
  <c r="C74" i="4"/>
  <c r="B74" i="4"/>
  <c r="I73" i="4"/>
  <c r="G73" i="4"/>
  <c r="F73" i="4"/>
  <c r="D73" i="4"/>
  <c r="C73" i="4"/>
  <c r="B73" i="4"/>
  <c r="I72" i="4"/>
  <c r="G72" i="4"/>
  <c r="F72" i="4"/>
  <c r="D72" i="4"/>
  <c r="C72" i="4"/>
  <c r="B72" i="4"/>
  <c r="I71" i="4"/>
  <c r="G71" i="4"/>
  <c r="F71" i="4"/>
  <c r="D71" i="4"/>
  <c r="C71" i="4"/>
  <c r="B71" i="4"/>
  <c r="I70" i="4"/>
  <c r="G70" i="4"/>
  <c r="F70" i="4"/>
  <c r="D70" i="4"/>
  <c r="C70" i="4"/>
  <c r="B70" i="4"/>
  <c r="I69" i="4"/>
  <c r="G69" i="4"/>
  <c r="F69" i="4"/>
  <c r="D69" i="4"/>
  <c r="C69" i="4"/>
  <c r="B69" i="4"/>
  <c r="I68" i="4"/>
  <c r="G68" i="4"/>
  <c r="F68" i="4"/>
  <c r="D68" i="4"/>
  <c r="C68" i="4"/>
  <c r="B68" i="4"/>
  <c r="I67" i="4"/>
  <c r="G67" i="4"/>
  <c r="F67" i="4"/>
  <c r="D67" i="4"/>
  <c r="C67" i="4"/>
  <c r="B67" i="4"/>
  <c r="I66" i="4"/>
  <c r="G66" i="4"/>
  <c r="F66" i="4"/>
  <c r="D66" i="4"/>
  <c r="C66" i="4"/>
  <c r="B66" i="4"/>
  <c r="I65" i="4"/>
  <c r="G65" i="4"/>
  <c r="F65" i="4"/>
  <c r="D65" i="4"/>
  <c r="C65" i="4"/>
  <c r="B65" i="4"/>
  <c r="I64" i="4"/>
  <c r="G64" i="4"/>
  <c r="F64" i="4"/>
  <c r="D64" i="4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C64" i="4"/>
  <c r="B64" i="4"/>
  <c r="I63" i="4"/>
  <c r="G63" i="4"/>
  <c r="F63" i="4"/>
  <c r="H63" i="4" s="1"/>
  <c r="J63" i="4" s="1"/>
  <c r="N4" i="5" s="1"/>
  <c r="D63" i="4"/>
  <c r="C63" i="4"/>
  <c r="B63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2" i="4"/>
  <c r="C12" i="4"/>
  <c r="B12" i="4"/>
  <c r="B26" i="3"/>
  <c r="E11" i="3"/>
  <c r="D11" i="3"/>
  <c r="C11" i="3"/>
  <c r="B11" i="3"/>
  <c r="C8" i="3"/>
  <c r="B8" i="3"/>
  <c r="E7" i="3"/>
  <c r="E8" i="3" s="1"/>
  <c r="E10" i="3" s="1"/>
  <c r="E12" i="3" s="1"/>
  <c r="E13" i="3" s="1"/>
  <c r="C7" i="3"/>
  <c r="B7" i="3"/>
  <c r="D7" i="3" s="1"/>
  <c r="B4" i="3"/>
  <c r="B30" i="2"/>
  <c r="B25" i="2"/>
  <c r="B20" i="2"/>
  <c r="B7" i="2"/>
  <c r="I15" i="5" l="1"/>
  <c r="I10" i="5"/>
  <c r="I7" i="5"/>
  <c r="G93" i="4"/>
  <c r="G83" i="4"/>
  <c r="G81" i="4"/>
  <c r="F76" i="4"/>
  <c r="F74" i="4"/>
  <c r="D41" i="4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I14" i="5"/>
  <c r="I13" i="5"/>
  <c r="I11" i="5"/>
  <c r="G89" i="4"/>
  <c r="H89" i="4" s="1"/>
  <c r="J89" i="4" s="1"/>
  <c r="N30" i="5" s="1"/>
  <c r="G85" i="4"/>
  <c r="G82" i="4"/>
  <c r="F77" i="4"/>
  <c r="C41" i="4"/>
  <c r="I16" i="5"/>
  <c r="I12" i="5"/>
  <c r="I8" i="5"/>
  <c r="G94" i="4"/>
  <c r="G87" i="4"/>
  <c r="F85" i="4"/>
  <c r="H85" i="4" s="1"/>
  <c r="J85" i="4" s="1"/>
  <c r="N26" i="5" s="1"/>
  <c r="Q26" i="5" s="1"/>
  <c r="F83" i="4"/>
  <c r="H83" i="4" s="1"/>
  <c r="J83" i="4" s="1"/>
  <c r="N24" i="5" s="1"/>
  <c r="G79" i="4"/>
  <c r="F75" i="4"/>
  <c r="H75" i="4" s="1"/>
  <c r="J75" i="4" s="1"/>
  <c r="N16" i="5" s="1"/>
  <c r="G91" i="4"/>
  <c r="G86" i="4"/>
  <c r="F84" i="4"/>
  <c r="H84" i="4" s="1"/>
  <c r="J84" i="4" s="1"/>
  <c r="N25" i="5" s="1"/>
  <c r="G80" i="4"/>
  <c r="F78" i="4"/>
  <c r="H78" i="4" s="1"/>
  <c r="J78" i="4" s="1"/>
  <c r="N19" i="5" s="1"/>
  <c r="G76" i="4"/>
  <c r="B41" i="4"/>
  <c r="G90" i="4"/>
  <c r="G78" i="4"/>
  <c r="F80" i="4"/>
  <c r="H80" i="4" s="1"/>
  <c r="J80" i="4" s="1"/>
  <c r="N21" i="5" s="1"/>
  <c r="I9" i="5"/>
  <c r="I6" i="5"/>
  <c r="G88" i="4"/>
  <c r="H88" i="4" s="1"/>
  <c r="J88" i="4" s="1"/>
  <c r="N29" i="5" s="1"/>
  <c r="Q29" i="5" s="1"/>
  <c r="F86" i="4"/>
  <c r="H86" i="4" s="1"/>
  <c r="J86" i="4" s="1"/>
  <c r="N27" i="5" s="1"/>
  <c r="G84" i="4"/>
  <c r="F81" i="4"/>
  <c r="H81" i="4" s="1"/>
  <c r="J81" i="4" s="1"/>
  <c r="N22" i="5" s="1"/>
  <c r="F79" i="4"/>
  <c r="G77" i="4"/>
  <c r="H77" i="4" s="1"/>
  <c r="J77" i="4" s="1"/>
  <c r="N18" i="5" s="1"/>
  <c r="D8" i="3"/>
  <c r="B25" i="3" s="1"/>
  <c r="I5" i="5"/>
  <c r="I4" i="5"/>
  <c r="Q4" i="5" s="1"/>
  <c r="G92" i="4"/>
  <c r="F87" i="4"/>
  <c r="H87" i="4" s="1"/>
  <c r="J87" i="4" s="1"/>
  <c r="N28" i="5" s="1"/>
  <c r="F82" i="4"/>
  <c r="J44" i="5"/>
  <c r="H44" i="5"/>
  <c r="H40" i="5"/>
  <c r="J40" i="5"/>
  <c r="H36" i="5"/>
  <c r="J36" i="5"/>
  <c r="H32" i="5"/>
  <c r="J32" i="5"/>
  <c r="H50" i="5"/>
  <c r="J50" i="5"/>
  <c r="J49" i="5"/>
  <c r="H49" i="5"/>
  <c r="H48" i="5"/>
  <c r="J48" i="5"/>
  <c r="J47" i="5"/>
  <c r="H47" i="5"/>
  <c r="J46" i="5"/>
  <c r="H46" i="5"/>
  <c r="Q46" i="5" s="1"/>
  <c r="J45" i="5"/>
  <c r="H45" i="5"/>
  <c r="J43" i="5"/>
  <c r="H43" i="5"/>
  <c r="H42" i="5"/>
  <c r="J42" i="5"/>
  <c r="J41" i="5"/>
  <c r="H41" i="5"/>
  <c r="H39" i="5"/>
  <c r="J39" i="5"/>
  <c r="H38" i="5"/>
  <c r="J38" i="5"/>
  <c r="H37" i="5"/>
  <c r="J37" i="5"/>
  <c r="H35" i="5"/>
  <c r="J35" i="5"/>
  <c r="J34" i="5"/>
  <c r="H34" i="5"/>
  <c r="H33" i="5"/>
  <c r="J33" i="5"/>
  <c r="H31" i="5"/>
  <c r="J31" i="5"/>
  <c r="H30" i="5"/>
  <c r="J30" i="5"/>
  <c r="H29" i="5"/>
  <c r="J29" i="5"/>
  <c r="J28" i="5"/>
  <c r="H28" i="5"/>
  <c r="H27" i="5"/>
  <c r="J27" i="5"/>
  <c r="H26" i="5"/>
  <c r="J26" i="5"/>
  <c r="J25" i="5"/>
  <c r="H25" i="5"/>
  <c r="H24" i="5"/>
  <c r="J24" i="5"/>
  <c r="J23" i="5"/>
  <c r="H23" i="5"/>
  <c r="H22" i="5"/>
  <c r="J22" i="5"/>
  <c r="H21" i="5"/>
  <c r="J21" i="5"/>
  <c r="H20" i="5"/>
  <c r="J20" i="5"/>
  <c r="H19" i="5"/>
  <c r="J19" i="5"/>
  <c r="J18" i="5"/>
  <c r="H18" i="5"/>
  <c r="J17" i="5"/>
  <c r="H17" i="5"/>
  <c r="H16" i="5"/>
  <c r="J16" i="5"/>
  <c r="J15" i="5"/>
  <c r="H15" i="5"/>
  <c r="J14" i="5"/>
  <c r="H14" i="5"/>
  <c r="J13" i="5"/>
  <c r="H13" i="5"/>
  <c r="J12" i="5"/>
  <c r="H12" i="5"/>
  <c r="J11" i="5"/>
  <c r="H11" i="5"/>
  <c r="J10" i="5"/>
  <c r="H10" i="5"/>
  <c r="H9" i="5"/>
  <c r="J9" i="5"/>
  <c r="J8" i="5"/>
  <c r="H8" i="5"/>
  <c r="J7" i="5"/>
  <c r="H7" i="5"/>
  <c r="H6" i="5"/>
  <c r="J6" i="5"/>
  <c r="J5" i="5"/>
  <c r="H5" i="5"/>
  <c r="J4" i="5"/>
  <c r="H4" i="5"/>
  <c r="B23" i="3"/>
  <c r="C9" i="3"/>
  <c r="C10" i="3" s="1"/>
  <c r="C12" i="3" s="1"/>
  <c r="C13" i="3" s="1"/>
  <c r="B9" i="3"/>
  <c r="B8" i="6"/>
  <c r="B32" i="2"/>
  <c r="B33" i="2" s="1"/>
  <c r="B37" i="2"/>
  <c r="G100" i="4"/>
  <c r="H100" i="4" s="1"/>
  <c r="J100" i="4" s="1"/>
  <c r="N41" i="5" s="1"/>
  <c r="H72" i="4"/>
  <c r="J72" i="4" s="1"/>
  <c r="N13" i="5" s="1"/>
  <c r="H69" i="4"/>
  <c r="J69" i="4" s="1"/>
  <c r="N10" i="5" s="1"/>
  <c r="H67" i="4"/>
  <c r="J67" i="4" s="1"/>
  <c r="N8" i="5" s="1"/>
  <c r="G107" i="4"/>
  <c r="H107" i="4" s="1"/>
  <c r="J107" i="4" s="1"/>
  <c r="N48" i="5" s="1"/>
  <c r="G103" i="4"/>
  <c r="H103" i="4" s="1"/>
  <c r="J103" i="4" s="1"/>
  <c r="N44" i="5" s="1"/>
  <c r="G101" i="4"/>
  <c r="H101" i="4" s="1"/>
  <c r="J101" i="4" s="1"/>
  <c r="N42" i="5" s="1"/>
  <c r="Q42" i="5" s="1"/>
  <c r="G98" i="4"/>
  <c r="H98" i="4" s="1"/>
  <c r="J98" i="4" s="1"/>
  <c r="N39" i="5" s="1"/>
  <c r="H74" i="4"/>
  <c r="J74" i="4" s="1"/>
  <c r="N15" i="5" s="1"/>
  <c r="B25" i="6" s="1"/>
  <c r="H64" i="4"/>
  <c r="J64" i="4" s="1"/>
  <c r="N5" i="5" s="1"/>
  <c r="G109" i="4"/>
  <c r="H109" i="4" s="1"/>
  <c r="J109" i="4" s="1"/>
  <c r="N50" i="5" s="1"/>
  <c r="Q50" i="5" s="1"/>
  <c r="G106" i="4"/>
  <c r="H106" i="4" s="1"/>
  <c r="J106" i="4" s="1"/>
  <c r="N47" i="5" s="1"/>
  <c r="G105" i="4"/>
  <c r="H105" i="4" s="1"/>
  <c r="J105" i="4" s="1"/>
  <c r="N46" i="5" s="1"/>
  <c r="G104" i="4"/>
  <c r="H104" i="4" s="1"/>
  <c r="J104" i="4" s="1"/>
  <c r="N45" i="5" s="1"/>
  <c r="G102" i="4"/>
  <c r="H102" i="4" s="1"/>
  <c r="J102" i="4" s="1"/>
  <c r="N43" i="5" s="1"/>
  <c r="G99" i="4"/>
  <c r="H99" i="4" s="1"/>
  <c r="J99" i="4" s="1"/>
  <c r="N40" i="5" s="1"/>
  <c r="Q40" i="5" s="1"/>
  <c r="G97" i="4"/>
  <c r="H97" i="4" s="1"/>
  <c r="J97" i="4" s="1"/>
  <c r="N38" i="5" s="1"/>
  <c r="H82" i="4"/>
  <c r="J82" i="4" s="1"/>
  <c r="N23" i="5" s="1"/>
  <c r="H79" i="4"/>
  <c r="J79" i="4" s="1"/>
  <c r="N20" i="5" s="1"/>
  <c r="H76" i="4"/>
  <c r="J76" i="4" s="1"/>
  <c r="N17" i="5" s="1"/>
  <c r="H71" i="4"/>
  <c r="J71" i="4" s="1"/>
  <c r="N12" i="5" s="1"/>
  <c r="H68" i="4"/>
  <c r="J68" i="4" s="1"/>
  <c r="N9" i="5" s="1"/>
  <c r="H66" i="4"/>
  <c r="J66" i="4" s="1"/>
  <c r="N7" i="5" s="1"/>
  <c r="H73" i="4"/>
  <c r="J73" i="4" s="1"/>
  <c r="N14" i="5" s="1"/>
  <c r="H94" i="4"/>
  <c r="J94" i="4" s="1"/>
  <c r="N35" i="5" s="1"/>
  <c r="Q35" i="5" s="1"/>
  <c r="H70" i="4"/>
  <c r="J70" i="4" s="1"/>
  <c r="N11" i="5" s="1"/>
  <c r="Q11" i="5" s="1"/>
  <c r="H65" i="4"/>
  <c r="J65" i="4" s="1"/>
  <c r="N6" i="5" s="1"/>
  <c r="Q48" i="5" l="1"/>
  <c r="Q43" i="5"/>
  <c r="Q41" i="5"/>
  <c r="Q39" i="5"/>
  <c r="Q38" i="5"/>
  <c r="Q30" i="5"/>
  <c r="Q27" i="5"/>
  <c r="Q25" i="5"/>
  <c r="Q23" i="5"/>
  <c r="Q22" i="5"/>
  <c r="Q21" i="5"/>
  <c r="Q19" i="5"/>
  <c r="Q15" i="5"/>
  <c r="Q14" i="5"/>
  <c r="Q18" i="5"/>
  <c r="Q17" i="5"/>
  <c r="Q13" i="5"/>
  <c r="Q12" i="5"/>
  <c r="Q10" i="5"/>
  <c r="Q9" i="5"/>
  <c r="Q8" i="5"/>
  <c r="Q7" i="5"/>
  <c r="Q6" i="5"/>
  <c r="Q5" i="5"/>
  <c r="Q47" i="5"/>
  <c r="Q45" i="5"/>
  <c r="C42" i="4"/>
  <c r="G95" i="4"/>
  <c r="H95" i="4" s="1"/>
  <c r="J95" i="4" s="1"/>
  <c r="N36" i="5" s="1"/>
  <c r="Q36" i="5" s="1"/>
  <c r="B42" i="4"/>
  <c r="F90" i="4"/>
  <c r="H90" i="4" s="1"/>
  <c r="J90" i="4" s="1"/>
  <c r="N31" i="5" s="1"/>
  <c r="Q31" i="5" s="1"/>
  <c r="F91" i="4"/>
  <c r="H91" i="4" s="1"/>
  <c r="J91" i="4" s="1"/>
  <c r="N32" i="5" s="1"/>
  <c r="B43" i="4"/>
  <c r="D9" i="3"/>
  <c r="D10" i="3" s="1"/>
  <c r="D12" i="3" s="1"/>
  <c r="D13" i="3" s="1"/>
  <c r="B16" i="3" s="1"/>
  <c r="B10" i="3"/>
  <c r="B12" i="3" s="1"/>
  <c r="B13" i="3" s="1"/>
  <c r="B15" i="3" s="1"/>
  <c r="B35" i="2"/>
  <c r="B5" i="6"/>
  <c r="B6" i="6"/>
  <c r="R4" i="5"/>
  <c r="Q44" i="5"/>
  <c r="B26" i="6"/>
  <c r="Q28" i="5"/>
  <c r="Q24" i="5"/>
  <c r="Q20" i="5"/>
  <c r="Q16" i="5"/>
  <c r="G96" i="4" l="1"/>
  <c r="H96" i="4" s="1"/>
  <c r="J96" i="4" s="1"/>
  <c r="N37" i="5" s="1"/>
  <c r="Q37" i="5" s="1"/>
  <c r="C43" i="4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F92" i="4"/>
  <c r="H92" i="4" s="1"/>
  <c r="J92" i="4" s="1"/>
  <c r="N33" i="5" s="1"/>
  <c r="Q33" i="5" s="1"/>
  <c r="B44" i="4"/>
  <c r="B11" i="6"/>
  <c r="B20" i="3"/>
  <c r="B17" i="3"/>
  <c r="B12" i="6" s="1"/>
  <c r="B19" i="3"/>
  <c r="B10" i="6"/>
  <c r="B24" i="3"/>
  <c r="B27" i="3" s="1"/>
  <c r="B7" i="6" s="1"/>
  <c r="S4" i="5"/>
  <c r="U4" i="5"/>
  <c r="Q32" i="5"/>
  <c r="G108" i="4" l="1"/>
  <c r="H108" i="4" s="1"/>
  <c r="J108" i="4" s="1"/>
  <c r="N49" i="5" s="1"/>
  <c r="Q49" i="5" s="1"/>
  <c r="C55" i="4"/>
  <c r="C56" i="4" s="1"/>
  <c r="C57" i="4" s="1"/>
  <c r="C58" i="4" s="1"/>
  <c r="C59" i="4" s="1"/>
  <c r="C60" i="4" s="1"/>
  <c r="F93" i="4"/>
  <c r="H93" i="4" s="1"/>
  <c r="J93" i="4" s="1"/>
  <c r="N34" i="5" s="1"/>
  <c r="B45" i="4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R5" i="5"/>
  <c r="B27" i="6" l="1"/>
  <c r="Q34" i="5"/>
  <c r="S5" i="5"/>
  <c r="U5" i="5" s="1"/>
  <c r="R6" i="5" l="1"/>
  <c r="S6" i="5" l="1"/>
  <c r="U6" i="5" s="1"/>
  <c r="R7" i="5" l="1"/>
  <c r="S7" i="5" l="1"/>
  <c r="U7" i="5" s="1"/>
  <c r="R8" i="5" l="1"/>
  <c r="S8" i="5" l="1"/>
  <c r="U8" i="5" s="1"/>
  <c r="R9" i="5" s="1"/>
  <c r="S9" i="5" l="1"/>
  <c r="U9" i="5" s="1"/>
  <c r="R10" i="5" s="1"/>
  <c r="S10" i="5" l="1"/>
  <c r="U10" i="5" s="1"/>
  <c r="R11" i="5" s="1"/>
  <c r="S11" i="5" l="1"/>
  <c r="U11" i="5" s="1"/>
  <c r="R12" i="5" s="1"/>
  <c r="U12" i="5" l="1"/>
  <c r="R13" i="5" s="1"/>
  <c r="S12" i="5"/>
  <c r="U13" i="5" l="1"/>
  <c r="R14" i="5" s="1"/>
  <c r="S13" i="5"/>
  <c r="S14" i="5" l="1"/>
  <c r="U14" i="5" s="1"/>
  <c r="R15" i="5" s="1"/>
  <c r="S15" i="5" l="1"/>
  <c r="U15" i="5" s="1"/>
  <c r="R16" i="5" l="1"/>
  <c r="B17" i="6"/>
  <c r="B14" i="6"/>
  <c r="S16" i="5" l="1"/>
  <c r="U16" i="5" s="1"/>
  <c r="R17" i="5" s="1"/>
  <c r="S17" i="5" l="1"/>
  <c r="U17" i="5" s="1"/>
  <c r="R18" i="5" s="1"/>
  <c r="S18" i="5" l="1"/>
  <c r="U18" i="5" s="1"/>
  <c r="R19" i="5" s="1"/>
  <c r="S19" i="5" l="1"/>
  <c r="U19" i="5"/>
  <c r="R20" i="5" s="1"/>
  <c r="S20" i="5" l="1"/>
  <c r="U20" i="5"/>
  <c r="R21" i="5" s="1"/>
  <c r="S21" i="5" l="1"/>
  <c r="U21" i="5" s="1"/>
  <c r="R22" i="5" s="1"/>
  <c r="S22" i="5" l="1"/>
  <c r="U22" i="5" s="1"/>
  <c r="R23" i="5" s="1"/>
  <c r="S23" i="5" l="1"/>
  <c r="U23" i="5"/>
  <c r="R24" i="5" s="1"/>
  <c r="S24" i="5" l="1"/>
  <c r="U24" i="5" s="1"/>
  <c r="R25" i="5" s="1"/>
  <c r="S25" i="5" l="1"/>
  <c r="U25" i="5" s="1"/>
  <c r="R26" i="5" s="1"/>
  <c r="S26" i="5" l="1"/>
  <c r="U26" i="5"/>
  <c r="R27" i="5" s="1"/>
  <c r="S27" i="5" l="1"/>
  <c r="U27" i="5"/>
  <c r="R28" i="5" s="1"/>
  <c r="S28" i="5" l="1"/>
  <c r="U28" i="5" s="1"/>
  <c r="R29" i="5" s="1"/>
  <c r="S29" i="5" l="1"/>
  <c r="U29" i="5" s="1"/>
  <c r="R30" i="5" s="1"/>
  <c r="S30" i="5" l="1"/>
  <c r="U30" i="5" s="1"/>
  <c r="R31" i="5" s="1"/>
  <c r="S31" i="5" l="1"/>
  <c r="U31" i="5" s="1"/>
  <c r="R32" i="5" s="1"/>
  <c r="S32" i="5" l="1"/>
  <c r="U32" i="5" s="1"/>
  <c r="R33" i="5" s="1"/>
  <c r="S33" i="5" l="1"/>
  <c r="U33" i="5"/>
  <c r="R34" i="5" s="1"/>
  <c r="S34" i="5" l="1"/>
  <c r="U34" i="5" s="1"/>
  <c r="R35" i="5" s="1"/>
  <c r="S35" i="5" l="1"/>
  <c r="U35" i="5" s="1"/>
  <c r="R36" i="5" s="1"/>
  <c r="S36" i="5" l="1"/>
  <c r="U36" i="5" s="1"/>
  <c r="R37" i="5" s="1"/>
  <c r="S37" i="5" l="1"/>
  <c r="U37" i="5" s="1"/>
  <c r="R38" i="5" s="1"/>
  <c r="S38" i="5" l="1"/>
  <c r="U38" i="5" s="1"/>
  <c r="R39" i="5" s="1"/>
  <c r="S39" i="5" l="1"/>
  <c r="U39" i="5" s="1"/>
  <c r="R40" i="5" s="1"/>
  <c r="S40" i="5" l="1"/>
  <c r="U40" i="5" s="1"/>
  <c r="R41" i="5" s="1"/>
  <c r="U41" i="5" l="1"/>
  <c r="R42" i="5" s="1"/>
  <c r="S41" i="5"/>
  <c r="S42" i="5" l="1"/>
  <c r="U42" i="5"/>
  <c r="R43" i="5" s="1"/>
  <c r="S43" i="5" l="1"/>
  <c r="U43" i="5"/>
  <c r="R44" i="5" s="1"/>
  <c r="S44" i="5" l="1"/>
  <c r="U44" i="5" s="1"/>
  <c r="B15" i="6" l="1"/>
  <c r="B21" i="6"/>
  <c r="R45" i="5"/>
  <c r="S45" i="5" l="1"/>
  <c r="U45" i="5" s="1"/>
  <c r="R46" i="5" s="1"/>
  <c r="S46" i="5" l="1"/>
  <c r="U46" i="5"/>
  <c r="R47" i="5" s="1"/>
  <c r="S47" i="5" l="1"/>
  <c r="U47" i="5" s="1"/>
  <c r="R48" i="5" s="1"/>
  <c r="U48" i="5" l="1"/>
  <c r="R49" i="5" s="1"/>
  <c r="S48" i="5"/>
  <c r="S49" i="5" l="1"/>
  <c r="U49" i="5" s="1"/>
  <c r="R50" i="5" s="1"/>
  <c r="S50" i="5" l="1"/>
  <c r="U50" i="5" s="1"/>
  <c r="B19" i="6" l="1"/>
  <c r="B20" i="6" s="1"/>
  <c r="B16" i="6"/>
  <c r="B22" i="6"/>
</calcChain>
</file>

<file path=xl/sharedStrings.xml><?xml version="1.0" encoding="utf-8"?>
<sst xmlns="http://schemas.openxmlformats.org/spreadsheetml/2006/main" count="287" uniqueCount="266">
  <si>
    <t>Wong Family model — INPUTS</t>
  </si>
  <si>
    <t>Blue = hardcoded input. Edit only blue cells. Source in column D.</t>
  </si>
  <si>
    <t>ECONOMIC</t>
  </si>
  <si>
    <t>CPI inflation</t>
  </si>
  <si>
    <t>Pete lock table; HK 2006-25 avg 2.52%</t>
  </si>
  <si>
    <t>Wage growth — Adrian</t>
  </si>
  <si>
    <t>Pete lock table</t>
  </si>
  <si>
    <t>Wage growth — Carmen</t>
  </si>
  <si>
    <t>Education escalation (overseas)</t>
  </si>
  <si>
    <t>RETURNS (nominal)</t>
  </si>
  <si>
    <t>Equities</t>
  </si>
  <si>
    <t>Fahtai 27 Sep: conservative vs Pete's 7.0%</t>
  </si>
  <si>
    <t>Equity volatility</t>
  </si>
  <si>
    <t>Pete lock table 16-18%</t>
  </si>
  <si>
    <t>Bonds / IG</t>
  </si>
  <si>
    <t>Treasury ladder</t>
  </si>
  <si>
    <t>held to maturity, vol ~2%</t>
  </si>
  <si>
    <t>MPF</t>
  </si>
  <si>
    <t>Cash — time deposits</t>
  </si>
  <si>
    <t>Pete: 3.0% 2027-28 -&gt; 2.5% by 2031</t>
  </si>
  <si>
    <t>Cash — idle balances</t>
  </si>
  <si>
    <t>TAX 2026/27</t>
  </si>
  <si>
    <t>Basic allowance</t>
  </si>
  <si>
    <t>IR (Amendment) Ordinance 2026</t>
  </si>
  <si>
    <t>Married allowance</t>
  </si>
  <si>
    <t>Child allowance</t>
  </si>
  <si>
    <t>Dependent parent 60+ (each)</t>
  </si>
  <si>
    <t>2 parents assumed, claimed by Adrian</t>
  </si>
  <si>
    <t>MPF deduction cap</t>
  </si>
  <si>
    <t>per person</t>
  </si>
  <si>
    <t>Top marginal rate</t>
  </si>
  <si>
    <t>progressive 2/6/10/14 then 17</t>
  </si>
  <si>
    <t>Tax on first 200,000</t>
  </si>
  <si>
    <t>2%+6%+10%+14% on 50k bands</t>
  </si>
  <si>
    <t>Mortgage rate (for HLI deduction)</t>
  </si>
  <si>
    <t>FAMILY</t>
  </si>
  <si>
    <t>Adrian's salary</t>
  </si>
  <si>
    <t>case</t>
  </si>
  <si>
    <t>Adrian's bonus (planning = low end)</t>
  </si>
  <si>
    <t>case 150-300k; conservative</t>
  </si>
  <si>
    <t>Carmen's salary / dividend</t>
  </si>
  <si>
    <t>case; treated as all salary</t>
  </si>
  <si>
    <t>Ryan's salary (EXCLUDED from base case)</t>
  </si>
  <si>
    <t>case; Goal 3 treats him separately</t>
  </si>
  <si>
    <t>Household expenses (annual)</t>
  </si>
  <si>
    <t>case 82,000/month</t>
  </si>
  <si>
    <t>Retirement spending (today money)</t>
  </si>
  <si>
    <t>Retirement income floor %</t>
  </si>
  <si>
    <t>Pete, C&amp;SD HES 2024/25 top quartile</t>
  </si>
  <si>
    <t>MODEL LEVERS</t>
  </si>
  <si>
    <t>Portfolio return — plan (nominal)</t>
  </si>
  <si>
    <t>mix 2: 40% eq @6% + 60% ladder @4%</t>
  </si>
  <si>
    <t>Portfolio return — status quo (nominal)</t>
  </si>
  <si>
    <t>unmanaged, cash-heavy. TEAM TO AGREE</t>
  </si>
  <si>
    <t>Emergency reserve target (months)</t>
  </si>
  <si>
    <t>vs 30.5 today</t>
  </si>
  <si>
    <t>Annuity purchase cost at 2037</t>
  </si>
  <si>
    <t>Pete: MPF 2.31M (A) + 1.81M (C)</t>
  </si>
  <si>
    <t>Annuity income (HKMC, annual)</t>
  </si>
  <si>
    <t>Pete: HKMC payout at 65</t>
  </si>
  <si>
    <t>Education — overseas annual (today)</t>
  </si>
  <si>
    <t>case high end, conservative</t>
  </si>
  <si>
    <t>Education — years</t>
  </si>
  <si>
    <t>4-year degree</t>
  </si>
  <si>
    <t>Insurance premiums (Lookbua, TBC)</t>
  </si>
  <si>
    <t>parents' new cover, avg a year to 2036: DI 37K, term life 7K, CI 1.5M each ~55K avg (needs-based, Bowtie Aug 2026), VHIS 15K. Paid until Adrian retires</t>
  </si>
  <si>
    <t>MEDICAL (methodology §1)</t>
  </si>
  <si>
    <t>Medical plan (1 = Flexi, 2 = Standard, 0 = off)</t>
  </si>
  <si>
    <t>methodology §1c: Flexi median is the realistic tier</t>
  </si>
  <si>
    <t>Medical trend — near term (2027)</t>
  </si>
  <si>
    <t>methodology §1b: WTW 9.9% / MMB 10.5%</t>
  </si>
  <si>
    <t>Medical trend — long run</t>
  </si>
  <si>
    <t>methodology §1b: GDP per capita 4% + excess 2pp</t>
  </si>
  <si>
    <t>Medical trend — long run reached (year)</t>
  </si>
  <si>
    <t>methodology §1b: linear grade</t>
  </si>
  <si>
    <t>Medical trend — stress (flat)</t>
  </si>
  <si>
    <t>methodology §1b: WTW HK mean 2020-26</t>
  </si>
  <si>
    <t>Use medical stress in base (1/0)</t>
  </si>
  <si>
    <t>0 = base trend path</t>
  </si>
  <si>
    <t>Premiums already inside the 780,000 (today money)</t>
  </si>
  <si>
    <t>~ both parents' Flexi median at 65. TEAM TO AGREE</t>
  </si>
  <si>
    <t>Medical plan review: switch to Standard (year)</t>
  </si>
  <si>
    <t>Adrian 75, Carmen 70: the tier review in the plan</t>
  </si>
  <si>
    <t>Guardrails: lowest discretionary share</t>
  </si>
  <si>
    <t>Guyton-Klinger cuts stop at half of discretionary spending</t>
  </si>
  <si>
    <t>BACKSTOPS (values; switch on to include in base)</t>
  </si>
  <si>
    <t>Survivor spending after Adrian (share)</t>
  </si>
  <si>
    <t>planning convention for a one-person household. TEAM TO AGREE</t>
  </si>
  <si>
    <t>Use survivor spending in base (1/0)</t>
  </si>
  <si>
    <t>0 = couple's spending continues to the horizon</t>
  </si>
  <si>
    <t>Carmen's business: net sale proceeds</t>
  </si>
  <si>
    <t>Pete brief: realisable 3.0-3.5M, low end</t>
  </si>
  <si>
    <t>Carmen's business: sale year</t>
  </si>
  <si>
    <t>Carmen retires at 62</t>
  </si>
  <si>
    <t>Use business sale in base (1/0)</t>
  </si>
  <si>
    <t>0 = business held outside the plan</t>
  </si>
  <si>
    <t>Reverse mortgage: annual income (level)</t>
  </si>
  <si>
    <t>Pete brief: HKMC RMP 230-260K a year, low end</t>
  </si>
  <si>
    <t>Reverse mortgage: first year</t>
  </si>
  <si>
    <t>Adrian retires</t>
  </si>
  <si>
    <t>Use reverse mortgage in base (1/0)</t>
  </si>
  <si>
    <t>0 = home held outside the plan</t>
  </si>
  <si>
    <t>STRESS SCENARIOS (methodology §5)</t>
  </si>
  <si>
    <t>Stress: equities</t>
  </si>
  <si>
    <t>Stress: bonds / ladder</t>
  </si>
  <si>
    <t>Pete lock table (IG bonds)</t>
  </si>
  <si>
    <t>Stress: CPI</t>
  </si>
  <si>
    <t>Pete lock table; Fed 2026 PCE 3.7%</t>
  </si>
  <si>
    <t>PROPERTY OPTIONS (Lookbua §9)</t>
  </si>
  <si>
    <t>Home value today</t>
  </si>
  <si>
    <t>Property growth</t>
  </si>
  <si>
    <t>RMP: loan rate (fixed)</t>
  </si>
  <si>
    <t>HKMC fixed plan, first 30 years</t>
  </si>
  <si>
    <t>RMP: insurance on balance (a year)</t>
  </si>
  <si>
    <t>HKMC</t>
  </si>
  <si>
    <t>RMP: upfront insurance (share of value)</t>
  </si>
  <si>
    <t>HKMC: 7 x 0.28%</t>
  </si>
  <si>
    <t>RMP: value counted in full up to</t>
  </si>
  <si>
    <t>HKMC valuation cap</t>
  </si>
  <si>
    <t>RMP: share of value counted above that</t>
  </si>
  <si>
    <t>Downsize: new home price (today money)</t>
  </si>
  <si>
    <t>Lookbua: smaller flat, same district. TEAM TO AGREE</t>
  </si>
  <si>
    <t>Downsize: stamp duty on purchase</t>
  </si>
  <si>
    <t>approx. scale for a HK$6-9M flat; verify</t>
  </si>
  <si>
    <t>Downsize: agents and legal (both sides)</t>
  </si>
  <si>
    <t>1% each side</t>
  </si>
  <si>
    <t>Downsize: moving and refit</t>
  </si>
  <si>
    <t>estimate</t>
  </si>
  <si>
    <t>Downsize: year</t>
  </si>
  <si>
    <t>same decision point as the reverse mortgage</t>
  </si>
  <si>
    <t>DATES</t>
  </si>
  <si>
    <t>Base year</t>
  </si>
  <si>
    <t>model start</t>
  </si>
  <si>
    <t>Adrian retires (age 65)</t>
  </si>
  <si>
    <t>Carmen retires (age 62)</t>
  </si>
  <si>
    <t>Chloe starts university</t>
  </si>
  <si>
    <t>age 18</t>
  </si>
  <si>
    <t>Adrian life expectancy (year, age 84)</t>
  </si>
  <si>
    <t>case: male 84</t>
  </si>
  <si>
    <t>Carmen age 89</t>
  </si>
  <si>
    <t>base horizon</t>
  </si>
  <si>
    <t>Carmen age 95</t>
  </si>
  <si>
    <t>stress horizon</t>
  </si>
  <si>
    <t>Balance sheet — case validation</t>
  </si>
  <si>
    <t>LIQUID</t>
  </si>
  <si>
    <t>Savings and current accounts</t>
  </si>
  <si>
    <t>Time deposits</t>
  </si>
  <si>
    <t>Money market / short bond fund</t>
  </si>
  <si>
    <t>Total liquid</t>
  </si>
  <si>
    <t>INVESTMENT</t>
  </si>
  <si>
    <t>HK equity funds</t>
  </si>
  <si>
    <t>Global equity funds</t>
  </si>
  <si>
    <t>Investment-grade bond funds</t>
  </si>
  <si>
    <t>ESG / sustainable equity funds</t>
  </si>
  <si>
    <t>Green / sustainable bond products</t>
  </si>
  <si>
    <t>Listed stocks and REITs</t>
  </si>
  <si>
    <t>Adrian's MPF</t>
  </si>
  <si>
    <t>Carmen's MPF</t>
  </si>
  <si>
    <t>Ryan's MPF</t>
  </si>
  <si>
    <t>Digital assets (all Ryan)</t>
  </si>
  <si>
    <t>Cash value of life policies</t>
  </si>
  <si>
    <t>Total investment</t>
  </si>
  <si>
    <t>FIXED</t>
  </si>
  <si>
    <t>Residential property</t>
  </si>
  <si>
    <t>Carmen's business</t>
  </si>
  <si>
    <t>Motor vehicle</t>
  </si>
  <si>
    <t>Total fixed</t>
  </si>
  <si>
    <t>LIABILITIES</t>
  </si>
  <si>
    <t>Mortgage</t>
  </si>
  <si>
    <t>Business term loan</t>
  </si>
  <si>
    <t>Credit card / revolving</t>
  </si>
  <si>
    <t>Total liabilities</t>
  </si>
  <si>
    <t>TOTAL ASSETS</t>
  </si>
  <si>
    <t>NET WORTH</t>
  </si>
  <si>
    <t>CHECK vs case (should be 0)</t>
  </si>
  <si>
    <t>Parents' investable pool (ex Ryan's MPF and digital)</t>
  </si>
  <si>
    <t>Salaries tax 2026/27 — separate vs joint assessment</t>
  </si>
  <si>
    <t>Confirms Pete: separate beats joint by exactly HK$18,000</t>
  </si>
  <si>
    <t>HLI total (mortgage x rate)</t>
  </si>
  <si>
    <t>Adrian</t>
  </si>
  <si>
    <t>Carmen</t>
  </si>
  <si>
    <t>Joint</t>
  </si>
  <si>
    <t>Ryan</t>
  </si>
  <si>
    <t>Income</t>
  </si>
  <si>
    <t>less MPF</t>
  </si>
  <si>
    <t>less home loan int</t>
  </si>
  <si>
    <t>Net income</t>
  </si>
  <si>
    <t>less allowances</t>
  </si>
  <si>
    <t>Net chargeable income</t>
  </si>
  <si>
    <t>TAX (progressive)</t>
  </si>
  <si>
    <t>COUPLE — separate</t>
  </si>
  <si>
    <t>COUPLE — joint</t>
  </si>
  <si>
    <t>Separate saves</t>
  </si>
  <si>
    <t>CHECK separate = 181,770</t>
  </si>
  <si>
    <t>CHECK joint = 199,770</t>
  </si>
  <si>
    <t>ANNUAL SURPLUS (parents, after tax and MPF)</t>
  </si>
  <si>
    <t>Gross income</t>
  </si>
  <si>
    <t>less tax</t>
  </si>
  <si>
    <t>less expenses</t>
  </si>
  <si>
    <t>SURPLUS</t>
  </si>
  <si>
    <t>Medical premiums — VHIS age curve x medical trend (methodology §1)</t>
  </si>
  <si>
    <t>Blue = VHIS dataset medians (HK$ a year, dataset prices). Everything else is formula.</t>
  </si>
  <si>
    <t>Age</t>
  </si>
  <si>
    <t>Flexi median, male</t>
  </si>
  <si>
    <t>Flexi median, female</t>
  </si>
  <si>
    <t>Standard median, male</t>
  </si>
  <si>
    <t>Source: Health Bureau VHIS standard-premium dataset, standalone non-smoker</t>
  </si>
  <si>
    <t>Growth a year beyond 80 (75→80 slope)</t>
  </si>
  <si>
    <t>Flexi, male</t>
  </si>
  <si>
    <t>Flexi, female</t>
  </si>
  <si>
    <t>Standard</t>
  </si>
  <si>
    <t>Year</t>
  </si>
  <si>
    <t>Age A</t>
  </si>
  <si>
    <t>Age C</t>
  </si>
  <si>
    <t>Trend</t>
  </si>
  <si>
    <t>Index</t>
  </si>
  <si>
    <t>Adrian (dataset prices)</t>
  </si>
  <si>
    <t>Carmen (dataset prices)</t>
  </si>
  <si>
    <t>Gross premiums (nominal)</t>
  </si>
  <si>
    <t>Already in 780,000 (nominal)</t>
  </si>
  <si>
    <t>Net medical line (nominal)</t>
  </si>
  <si>
    <t>Year-by-year projection 2026-2072 — every cell driven by the Inputs tab</t>
  </si>
  <si>
    <t>Black = formula. Change nothing here; change Inputs.</t>
  </si>
  <si>
    <t>Income A</t>
  </si>
  <si>
    <t>Income C</t>
  </si>
  <si>
    <t>Allow A</t>
  </si>
  <si>
    <t>Allow C</t>
  </si>
  <si>
    <t>Tax A</t>
  </si>
  <si>
    <t>Tax C</t>
  </si>
  <si>
    <t>Living exp</t>
  </si>
  <si>
    <t>Education</t>
  </si>
  <si>
    <t>Retire spend</t>
  </si>
  <si>
    <t>Medical</t>
  </si>
  <si>
    <t>Annuity inc</t>
  </si>
  <si>
    <t>Backstops</t>
  </si>
  <si>
    <t>Net cash flow</t>
  </si>
  <si>
    <t>Portfolio open</t>
  </si>
  <si>
    <t>Investment return</t>
  </si>
  <si>
    <t>Annuity purchase</t>
  </si>
  <si>
    <t>Portfolio close</t>
  </si>
  <si>
    <t>OUTPUTS — the only numbers that go in the proposal</t>
  </si>
  <si>
    <t>Green = pulled from another tab. Quote these, not your own arithmetic.</t>
  </si>
  <si>
    <t>POSITION TODAY</t>
  </si>
  <si>
    <t>Net worth</t>
  </si>
  <si>
    <t>Parents' investable pool</t>
  </si>
  <si>
    <t>Annual surplus (after tax, MPF, premiums)</t>
  </si>
  <si>
    <t>Emergency reserve, months</t>
  </si>
  <si>
    <t>TAX</t>
  </si>
  <si>
    <t>Couple — separate assessment</t>
  </si>
  <si>
    <t>Couple — joint assessment</t>
  </si>
  <si>
    <t>Saving from separate</t>
  </si>
  <si>
    <t>PROJECTION (deterministic, plan return; backstops only if switched on)</t>
  </si>
  <si>
    <t>Portfolio at Adrian's retirement (2037, nominal)</t>
  </si>
  <si>
    <t>Portfolio at Carmen 89 (2066)</t>
  </si>
  <si>
    <t>Portfolio at Carmen 95 (2072)</t>
  </si>
  <si>
    <t>Portfolio at 2037 in TODAY money</t>
  </si>
  <si>
    <t>Retirement need at 2037 (today money)</t>
  </si>
  <si>
    <t>First year the portfolio runs out (0 = lasts to 2072)</t>
  </si>
  <si>
    <t>Carmen's age that year</t>
  </si>
  <si>
    <t>Money lasts to 89? (deterministic)</t>
  </si>
  <si>
    <t>Money lasts to 95? (deterministic)</t>
  </si>
  <si>
    <t>EDUCATION AND MEDICAL</t>
  </si>
  <si>
    <t>Total education cost (nominal)</t>
  </si>
  <si>
    <t>Medical line at 2037 (nominal)</t>
  </si>
  <si>
    <t>Medical line at Carmen 89 (nominal)</t>
  </si>
  <si>
    <t>Medical line to Carmen 89, total (nominal)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</si>
</sst>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8"/>
      <color rgb="FF666666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0" fontId="5" fillId="0" borderId="0" xfId="0" applyNumberFormat="1" applyFont="1"/>
    <xf numFmtId="0" fontId="6" fillId="0" borderId="0" xfId="0" applyFont="1"/>
    <xf numFmtId="3" fontId="5" fillId="0" borderId="0" xfId="0" applyNumberFormat="1" applyFont="1"/>
    <xf numFmtId="1" fontId="5" fillId="0" borderId="0" xfId="0" applyNumberFormat="1" applyFont="1"/>
    <xf numFmtId="0" fontId="3" fillId="0" borderId="0" xfId="0" applyFont="1"/>
    <xf numFmtId="3" fontId="3" fillId="0" borderId="1" xfId="0" applyNumberFormat="1" applyFont="1" applyBorder="1"/>
    <xf numFmtId="3" fontId="3" fillId="0" borderId="0" xfId="0" applyNumberFormat="1" applyFont="1"/>
    <xf numFmtId="3" fontId="0" fillId="3" borderId="0" xfId="0" applyNumberFormat="1" applyFill="1"/>
    <xf numFmtId="3" fontId="0" fillId="0" borderId="0" xfId="0" applyNumberFormat="1"/>
    <xf numFmtId="0" fontId="3" fillId="0" borderId="1" xfId="0" applyFont="1" applyBorder="1"/>
    <xf numFmtId="3" fontId="4" fillId="0" borderId="0" xfId="0" applyNumberFormat="1" applyFont="1"/>
    <xf numFmtId="3" fontId="3" fillId="3" borderId="0" xfId="0" applyNumberFormat="1" applyFont="1" applyFill="1"/>
    <xf numFmtId="10" fontId="0" fillId="0" borderId="0" xfId="0" applyNumberFormat="1"/>
    <xf numFmtId="0" fontId="3" fillId="0" borderId="1" xfId="0" applyFont="1" applyBorder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1" fontId="0" fillId="4" borderId="0" xfId="0" applyNumberFormat="1" applyFill="1"/>
    <xf numFmtId="3" fontId="4" fillId="4" borderId="0" xfId="0" applyNumberFormat="1" applyFont="1" applyFill="1"/>
    <xf numFmtId="3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/>
  </sheetViews>
  <sheetFormatPr defaultRowHeight="15" x14ac:dyDescent="0.25"/>
  <cols>
    <col min="1" max="1" width="38" customWidth="1"/>
    <col min="2" max="2" width="14" customWidth="1"/>
    <col min="4" max="4" width="55" customWidth="1"/>
  </cols>
  <sheetData>
    <row r="1" spans="1:4" ht="16.5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4"/>
      <c r="C4" s="4"/>
      <c r="D4" s="4"/>
    </row>
    <row r="5" spans="1:4" x14ac:dyDescent="0.25">
      <c r="A5" s="5" t="s">
        <v>3</v>
      </c>
      <c r="B5" s="6">
        <v>2.5000000000000001E-2</v>
      </c>
      <c r="D5" s="7" t="s">
        <v>4</v>
      </c>
    </row>
    <row r="6" spans="1:4" x14ac:dyDescent="0.25">
      <c r="A6" s="5" t="s">
        <v>5</v>
      </c>
      <c r="B6" s="6">
        <v>0.03</v>
      </c>
      <c r="D6" s="7" t="s">
        <v>6</v>
      </c>
    </row>
    <row r="7" spans="1:4" x14ac:dyDescent="0.25">
      <c r="A7" s="5" t="s">
        <v>7</v>
      </c>
      <c r="B7" s="6">
        <v>0.03</v>
      </c>
      <c r="D7" s="7" t="s">
        <v>6</v>
      </c>
    </row>
    <row r="8" spans="1:4" x14ac:dyDescent="0.25">
      <c r="A8" s="5" t="s">
        <v>8</v>
      </c>
      <c r="B8" s="6">
        <v>0.05</v>
      </c>
      <c r="D8" s="7" t="s">
        <v>6</v>
      </c>
    </row>
    <row r="9" spans="1:4" x14ac:dyDescent="0.25">
      <c r="A9" s="3" t="s">
        <v>9</v>
      </c>
      <c r="B9" s="4"/>
      <c r="C9" s="4"/>
      <c r="D9" s="4"/>
    </row>
    <row r="10" spans="1:4" x14ac:dyDescent="0.25">
      <c r="A10" s="5" t="s">
        <v>10</v>
      </c>
      <c r="B10" s="6">
        <v>0.06</v>
      </c>
      <c r="D10" s="7" t="s">
        <v>11</v>
      </c>
    </row>
    <row r="11" spans="1:4" x14ac:dyDescent="0.25">
      <c r="A11" s="5" t="s">
        <v>12</v>
      </c>
      <c r="B11" s="6">
        <v>0.17</v>
      </c>
      <c r="D11" s="7" t="s">
        <v>13</v>
      </c>
    </row>
    <row r="12" spans="1:4" x14ac:dyDescent="0.25">
      <c r="A12" s="5" t="s">
        <v>14</v>
      </c>
      <c r="B12" s="6">
        <v>0.04</v>
      </c>
      <c r="D12" s="7" t="s">
        <v>6</v>
      </c>
    </row>
    <row r="13" spans="1:4" x14ac:dyDescent="0.25">
      <c r="A13" s="5" t="s">
        <v>15</v>
      </c>
      <c r="B13" s="6">
        <v>0.04</v>
      </c>
      <c r="D13" s="7" t="s">
        <v>16</v>
      </c>
    </row>
    <row r="14" spans="1:4" x14ac:dyDescent="0.25">
      <c r="A14" s="5" t="s">
        <v>17</v>
      </c>
      <c r="B14" s="6">
        <v>0.05</v>
      </c>
      <c r="D14" s="7" t="s">
        <v>6</v>
      </c>
    </row>
    <row r="15" spans="1:4" x14ac:dyDescent="0.25">
      <c r="A15" s="5" t="s">
        <v>18</v>
      </c>
      <c r="B15" s="6">
        <v>2.8000000000000001E-2</v>
      </c>
      <c r="D15" s="7" t="s">
        <v>19</v>
      </c>
    </row>
    <row r="16" spans="1:4" x14ac:dyDescent="0.25">
      <c r="A16" s="5" t="s">
        <v>20</v>
      </c>
      <c r="B16" s="6">
        <v>2E-3</v>
      </c>
      <c r="D16" s="7" t="s">
        <v>6</v>
      </c>
    </row>
    <row r="17" spans="1:4" x14ac:dyDescent="0.25">
      <c r="A17" s="3" t="s">
        <v>21</v>
      </c>
      <c r="B17" s="4"/>
      <c r="C17" s="4"/>
      <c r="D17" s="4"/>
    </row>
    <row r="18" spans="1:4" x14ac:dyDescent="0.25">
      <c r="A18" s="5" t="s">
        <v>22</v>
      </c>
      <c r="B18" s="8">
        <v>145000</v>
      </c>
      <c r="D18" s="7" t="s">
        <v>23</v>
      </c>
    </row>
    <row r="19" spans="1:4" x14ac:dyDescent="0.25">
      <c r="A19" s="5" t="s">
        <v>24</v>
      </c>
      <c r="B19" s="8">
        <v>290000</v>
      </c>
      <c r="D19" s="7" t="s">
        <v>23</v>
      </c>
    </row>
    <row r="20" spans="1:4" x14ac:dyDescent="0.25">
      <c r="A20" s="5" t="s">
        <v>25</v>
      </c>
      <c r="B20" s="8">
        <v>140000</v>
      </c>
      <c r="D20" s="7" t="s">
        <v>23</v>
      </c>
    </row>
    <row r="21" spans="1:4" x14ac:dyDescent="0.25">
      <c r="A21" s="5" t="s">
        <v>26</v>
      </c>
      <c r="B21" s="8">
        <v>55000</v>
      </c>
      <c r="D21" s="7" t="s">
        <v>27</v>
      </c>
    </row>
    <row r="22" spans="1:4" x14ac:dyDescent="0.25">
      <c r="A22" s="5" t="s">
        <v>28</v>
      </c>
      <c r="B22" s="8">
        <v>18000</v>
      </c>
      <c r="D22" s="7" t="s">
        <v>29</v>
      </c>
    </row>
    <row r="23" spans="1:4" x14ac:dyDescent="0.25">
      <c r="A23" s="5" t="s">
        <v>30</v>
      </c>
      <c r="B23" s="6">
        <v>0.17</v>
      </c>
      <c r="D23" s="7" t="s">
        <v>31</v>
      </c>
    </row>
    <row r="24" spans="1:4" x14ac:dyDescent="0.25">
      <c r="A24" s="5" t="s">
        <v>32</v>
      </c>
      <c r="B24" s="8">
        <v>16000</v>
      </c>
      <c r="D24" s="7" t="s">
        <v>33</v>
      </c>
    </row>
    <row r="25" spans="1:4" x14ac:dyDescent="0.25">
      <c r="A25" s="5" t="s">
        <v>34</v>
      </c>
      <c r="B25" s="6">
        <v>3.5000000000000003E-2</v>
      </c>
      <c r="D25" s="7" t="s">
        <v>6</v>
      </c>
    </row>
    <row r="26" spans="1:4" x14ac:dyDescent="0.25">
      <c r="A26" s="3" t="s">
        <v>35</v>
      </c>
      <c r="B26" s="4"/>
      <c r="C26" s="4"/>
      <c r="D26" s="4"/>
    </row>
    <row r="27" spans="1:4" x14ac:dyDescent="0.25">
      <c r="A27" s="5" t="s">
        <v>36</v>
      </c>
      <c r="B27" s="8">
        <v>1050000</v>
      </c>
      <c r="D27" s="7" t="s">
        <v>37</v>
      </c>
    </row>
    <row r="28" spans="1:4" x14ac:dyDescent="0.25">
      <c r="A28" s="5" t="s">
        <v>38</v>
      </c>
      <c r="B28" s="8">
        <v>150000</v>
      </c>
      <c r="D28" s="7" t="s">
        <v>39</v>
      </c>
    </row>
    <row r="29" spans="1:4" x14ac:dyDescent="0.25">
      <c r="A29" s="5" t="s">
        <v>40</v>
      </c>
      <c r="B29" s="8">
        <v>720000</v>
      </c>
      <c r="D29" s="7" t="s">
        <v>41</v>
      </c>
    </row>
    <row r="30" spans="1:4" x14ac:dyDescent="0.25">
      <c r="A30" s="5" t="s">
        <v>42</v>
      </c>
      <c r="B30" s="8">
        <v>300000</v>
      </c>
      <c r="D30" s="7" t="s">
        <v>43</v>
      </c>
    </row>
    <row r="31" spans="1:4" x14ac:dyDescent="0.25">
      <c r="A31" s="5" t="s">
        <v>44</v>
      </c>
      <c r="B31" s="8">
        <v>984000</v>
      </c>
      <c r="D31" s="7" t="s">
        <v>45</v>
      </c>
    </row>
    <row r="32" spans="1:4" x14ac:dyDescent="0.25">
      <c r="A32" s="5" t="s">
        <v>46</v>
      </c>
      <c r="B32" s="8">
        <v>780000</v>
      </c>
      <c r="D32" s="7" t="s">
        <v>37</v>
      </c>
    </row>
    <row r="33" spans="1:4" x14ac:dyDescent="0.25">
      <c r="A33" s="5" t="s">
        <v>47</v>
      </c>
      <c r="B33" s="6">
        <v>0.4</v>
      </c>
      <c r="D33" s="7" t="s">
        <v>48</v>
      </c>
    </row>
    <row r="34" spans="1:4" x14ac:dyDescent="0.25">
      <c r="A34" s="3" t="s">
        <v>49</v>
      </c>
      <c r="B34" s="4"/>
      <c r="C34" s="4"/>
      <c r="D34" s="4"/>
    </row>
    <row r="35" spans="1:4" x14ac:dyDescent="0.25">
      <c r="A35" s="5" t="s">
        <v>50</v>
      </c>
      <c r="B35" s="6">
        <v>4.8000000000000001E-2</v>
      </c>
      <c r="D35" s="7" t="s">
        <v>51</v>
      </c>
    </row>
    <row r="36" spans="1:4" x14ac:dyDescent="0.25">
      <c r="A36" s="5" t="s">
        <v>52</v>
      </c>
      <c r="B36" s="6">
        <v>4.2000000000000003E-2</v>
      </c>
      <c r="D36" s="7" t="s">
        <v>53</v>
      </c>
    </row>
    <row r="37" spans="1:4" x14ac:dyDescent="0.25">
      <c r="A37" s="5" t="s">
        <v>54</v>
      </c>
      <c r="B37" s="9">
        <v>12</v>
      </c>
      <c r="D37" s="7" t="s">
        <v>55</v>
      </c>
    </row>
    <row r="38" spans="1:4" x14ac:dyDescent="0.25">
      <c r="A38" s="5" t="s">
        <v>56</v>
      </c>
      <c r="B38" s="8">
        <v>4120000</v>
      </c>
      <c r="D38" s="7" t="s">
        <v>57</v>
      </c>
    </row>
    <row r="39" spans="1:4" x14ac:dyDescent="0.25">
      <c r="A39" s="5" t="s">
        <v>58</v>
      </c>
      <c r="B39" s="8">
        <v>268000</v>
      </c>
      <c r="D39" s="7" t="s">
        <v>59</v>
      </c>
    </row>
    <row r="40" spans="1:4" x14ac:dyDescent="0.25">
      <c r="A40" s="5" t="s">
        <v>60</v>
      </c>
      <c r="B40" s="8">
        <v>600000</v>
      </c>
      <c r="D40" s="7" t="s">
        <v>61</v>
      </c>
    </row>
    <row r="41" spans="1:4" x14ac:dyDescent="0.25">
      <c r="A41" s="5" t="s">
        <v>62</v>
      </c>
      <c r="B41" s="9">
        <v>4</v>
      </c>
      <c r="D41" s="7" t="s">
        <v>63</v>
      </c>
    </row>
    <row r="42" spans="1:4" x14ac:dyDescent="0.25">
      <c r="A42" s="5" t="s">
        <v>64</v>
      </c>
      <c r="B42" s="8">
        <v>113600</v>
      </c>
      <c r="D42" s="7" t="s">
        <v>65</v>
      </c>
    </row>
    <row r="43" spans="1:4" x14ac:dyDescent="0.25">
      <c r="A43" s="3" t="s">
        <v>66</v>
      </c>
      <c r="B43" s="4"/>
      <c r="C43" s="4"/>
      <c r="D43" s="4"/>
    </row>
    <row r="44" spans="1:4" x14ac:dyDescent="0.25">
      <c r="A44" s="5" t="s">
        <v>67</v>
      </c>
      <c r="B44" s="9">
        <v>1</v>
      </c>
      <c r="D44" s="7" t="s">
        <v>68</v>
      </c>
    </row>
    <row r="45" spans="1:4" x14ac:dyDescent="0.25">
      <c r="A45" s="5" t="s">
        <v>69</v>
      </c>
      <c r="B45" s="6">
        <v>0.1</v>
      </c>
      <c r="D45" s="7" t="s">
        <v>70</v>
      </c>
    </row>
    <row r="46" spans="1:4" x14ac:dyDescent="0.25">
      <c r="A46" s="5" t="s">
        <v>71</v>
      </c>
      <c r="B46" s="6">
        <v>0.06</v>
      </c>
      <c r="D46" s="7" t="s">
        <v>72</v>
      </c>
    </row>
    <row r="47" spans="1:4" x14ac:dyDescent="0.25">
      <c r="A47" s="5" t="s">
        <v>73</v>
      </c>
      <c r="B47" s="9">
        <v>2036</v>
      </c>
      <c r="D47" s="7" t="s">
        <v>74</v>
      </c>
    </row>
    <row r="48" spans="1:4" x14ac:dyDescent="0.25">
      <c r="A48" s="5" t="s">
        <v>75</v>
      </c>
      <c r="B48" s="6">
        <v>8.5400000000000004E-2</v>
      </c>
      <c r="D48" s="7" t="s">
        <v>76</v>
      </c>
    </row>
    <row r="49" spans="1:4" x14ac:dyDescent="0.25">
      <c r="A49" s="5" t="s">
        <v>77</v>
      </c>
      <c r="B49" s="9">
        <v>0</v>
      </c>
      <c r="D49" s="7" t="s">
        <v>78</v>
      </c>
    </row>
    <row r="50" spans="1:4" x14ac:dyDescent="0.25">
      <c r="A50" s="5" t="s">
        <v>79</v>
      </c>
      <c r="B50" s="8">
        <v>65000</v>
      </c>
      <c r="D50" s="7" t="s">
        <v>80</v>
      </c>
    </row>
    <row r="51" spans="1:4" x14ac:dyDescent="0.25">
      <c r="A51" s="5" t="s">
        <v>81</v>
      </c>
      <c r="B51" s="9">
        <v>2047</v>
      </c>
      <c r="D51" s="7" t="s">
        <v>82</v>
      </c>
    </row>
    <row r="52" spans="1:4" x14ac:dyDescent="0.25">
      <c r="A52" s="5" t="s">
        <v>83</v>
      </c>
      <c r="B52" s="6">
        <v>0.5</v>
      </c>
      <c r="D52" s="7" t="s">
        <v>84</v>
      </c>
    </row>
    <row r="53" spans="1:4" x14ac:dyDescent="0.25">
      <c r="A53" s="3" t="s">
        <v>85</v>
      </c>
      <c r="B53" s="4"/>
      <c r="C53" s="4"/>
      <c r="D53" s="4"/>
    </row>
    <row r="54" spans="1:4" x14ac:dyDescent="0.25">
      <c r="A54" s="5" t="s">
        <v>86</v>
      </c>
      <c r="B54" s="6">
        <v>0.7</v>
      </c>
      <c r="D54" s="7" t="s">
        <v>87</v>
      </c>
    </row>
    <row r="55" spans="1:4" x14ac:dyDescent="0.25">
      <c r="A55" s="5" t="s">
        <v>88</v>
      </c>
      <c r="B55" s="9">
        <v>0</v>
      </c>
      <c r="D55" s="7" t="s">
        <v>89</v>
      </c>
    </row>
    <row r="56" spans="1:4" x14ac:dyDescent="0.25">
      <c r="A56" s="5" t="s">
        <v>90</v>
      </c>
      <c r="B56" s="8">
        <v>3000000</v>
      </c>
      <c r="D56" s="7" t="s">
        <v>91</v>
      </c>
    </row>
    <row r="57" spans="1:4" x14ac:dyDescent="0.25">
      <c r="A57" s="5" t="s">
        <v>92</v>
      </c>
      <c r="B57" s="9">
        <v>2039</v>
      </c>
      <c r="D57" s="7" t="s">
        <v>93</v>
      </c>
    </row>
    <row r="58" spans="1:4" x14ac:dyDescent="0.25">
      <c r="A58" s="5" t="s">
        <v>94</v>
      </c>
      <c r="B58" s="9">
        <v>0</v>
      </c>
      <c r="D58" s="7" t="s">
        <v>95</v>
      </c>
    </row>
    <row r="59" spans="1:4" x14ac:dyDescent="0.25">
      <c r="A59" s="5" t="s">
        <v>96</v>
      </c>
      <c r="B59" s="8">
        <v>230000</v>
      </c>
      <c r="D59" s="7" t="s">
        <v>97</v>
      </c>
    </row>
    <row r="60" spans="1:4" x14ac:dyDescent="0.25">
      <c r="A60" s="5" t="s">
        <v>98</v>
      </c>
      <c r="B60" s="9">
        <v>2037</v>
      </c>
      <c r="D60" s="7" t="s">
        <v>99</v>
      </c>
    </row>
    <row r="61" spans="1:4" x14ac:dyDescent="0.25">
      <c r="A61" s="5" t="s">
        <v>100</v>
      </c>
      <c r="B61" s="9">
        <v>0</v>
      </c>
      <c r="D61" s="7" t="s">
        <v>101</v>
      </c>
    </row>
    <row r="62" spans="1:4" x14ac:dyDescent="0.25">
      <c r="A62" s="3" t="s">
        <v>102</v>
      </c>
      <c r="B62" s="4"/>
      <c r="C62" s="4"/>
      <c r="D62" s="4"/>
    </row>
    <row r="63" spans="1:4" x14ac:dyDescent="0.25">
      <c r="A63" s="5" t="s">
        <v>103</v>
      </c>
      <c r="B63" s="6">
        <v>0.04</v>
      </c>
      <c r="D63" s="7" t="s">
        <v>6</v>
      </c>
    </row>
    <row r="64" spans="1:4" x14ac:dyDescent="0.25">
      <c r="A64" s="5" t="s">
        <v>104</v>
      </c>
      <c r="B64" s="6">
        <v>2.5000000000000001E-2</v>
      </c>
      <c r="D64" s="7" t="s">
        <v>105</v>
      </c>
    </row>
    <row r="65" spans="1:4" x14ac:dyDescent="0.25">
      <c r="A65" s="5" t="s">
        <v>106</v>
      </c>
      <c r="B65" s="6">
        <v>3.5000000000000003E-2</v>
      </c>
      <c r="D65" s="7" t="s">
        <v>107</v>
      </c>
    </row>
    <row r="66" spans="1:4" x14ac:dyDescent="0.25">
      <c r="A66" s="3" t="s">
        <v>108</v>
      </c>
      <c r="B66" s="4"/>
      <c r="C66" s="4"/>
      <c r="D66" s="4"/>
    </row>
    <row r="67" spans="1:4" x14ac:dyDescent="0.25">
      <c r="A67" s="5" t="s">
        <v>109</v>
      </c>
      <c r="B67" s="8">
        <v>11500000</v>
      </c>
      <c r="D67" s="7" t="s">
        <v>37</v>
      </c>
    </row>
    <row r="68" spans="1:4" x14ac:dyDescent="0.25">
      <c r="A68" s="5" t="s">
        <v>110</v>
      </c>
      <c r="B68" s="6">
        <v>1.4999999999999999E-2</v>
      </c>
      <c r="D68" s="7" t="s">
        <v>6</v>
      </c>
    </row>
    <row r="69" spans="1:4" x14ac:dyDescent="0.25">
      <c r="A69" s="5" t="s">
        <v>111</v>
      </c>
      <c r="B69" s="6">
        <v>0.04</v>
      </c>
      <c r="D69" s="7" t="s">
        <v>112</v>
      </c>
    </row>
    <row r="70" spans="1:4" x14ac:dyDescent="0.25">
      <c r="A70" s="5" t="s">
        <v>113</v>
      </c>
      <c r="B70" s="6">
        <v>1.2500000000000001E-2</v>
      </c>
      <c r="D70" s="7" t="s">
        <v>114</v>
      </c>
    </row>
    <row r="71" spans="1:4" x14ac:dyDescent="0.25">
      <c r="A71" s="5" t="s">
        <v>115</v>
      </c>
      <c r="B71" s="6">
        <v>1.9599999999999999E-2</v>
      </c>
      <c r="D71" s="7" t="s">
        <v>116</v>
      </c>
    </row>
    <row r="72" spans="1:4" x14ac:dyDescent="0.25">
      <c r="A72" s="5" t="s">
        <v>117</v>
      </c>
      <c r="B72" s="8">
        <v>8000000</v>
      </c>
      <c r="D72" s="7" t="s">
        <v>118</v>
      </c>
    </row>
    <row r="73" spans="1:4" x14ac:dyDescent="0.25">
      <c r="A73" s="5" t="s">
        <v>119</v>
      </c>
      <c r="B73" s="6">
        <v>0.5</v>
      </c>
      <c r="D73" s="7" t="s">
        <v>118</v>
      </c>
    </row>
    <row r="74" spans="1:4" x14ac:dyDescent="0.25">
      <c r="A74" s="5" t="s">
        <v>120</v>
      </c>
      <c r="B74" s="8">
        <v>7000000</v>
      </c>
      <c r="D74" s="7" t="s">
        <v>121</v>
      </c>
    </row>
    <row r="75" spans="1:4" x14ac:dyDescent="0.25">
      <c r="A75" s="5" t="s">
        <v>122</v>
      </c>
      <c r="B75" s="6">
        <v>3.7499999999999999E-2</v>
      </c>
      <c r="D75" s="7" t="s">
        <v>123</v>
      </c>
    </row>
    <row r="76" spans="1:4" x14ac:dyDescent="0.25">
      <c r="A76" s="5" t="s">
        <v>124</v>
      </c>
      <c r="B76" s="6">
        <v>0.02</v>
      </c>
      <c r="D76" s="7" t="s">
        <v>125</v>
      </c>
    </row>
    <row r="77" spans="1:4" x14ac:dyDescent="0.25">
      <c r="A77" s="5" t="s">
        <v>126</v>
      </c>
      <c r="B77" s="8">
        <v>200000</v>
      </c>
      <c r="D77" s="7" t="s">
        <v>127</v>
      </c>
    </row>
    <row r="78" spans="1:4" x14ac:dyDescent="0.25">
      <c r="A78" s="5" t="s">
        <v>128</v>
      </c>
      <c r="B78" s="9">
        <v>2037</v>
      </c>
      <c r="D78" s="7" t="s">
        <v>129</v>
      </c>
    </row>
    <row r="79" spans="1:4" x14ac:dyDescent="0.25">
      <c r="A79" s="3" t="s">
        <v>130</v>
      </c>
      <c r="B79" s="4"/>
      <c r="C79" s="4"/>
      <c r="D79" s="4"/>
    </row>
    <row r="80" spans="1:4" x14ac:dyDescent="0.25">
      <c r="A80" s="5" t="s">
        <v>131</v>
      </c>
      <c r="B80" s="9">
        <v>2026</v>
      </c>
      <c r="D80" s="7" t="s">
        <v>132</v>
      </c>
    </row>
    <row r="81" spans="1:4" x14ac:dyDescent="0.25">
      <c r="A81" s="5" t="s">
        <v>133</v>
      </c>
      <c r="B81" s="9">
        <v>2037</v>
      </c>
      <c r="D81" s="7" t="s">
        <v>37</v>
      </c>
    </row>
    <row r="82" spans="1:4" x14ac:dyDescent="0.25">
      <c r="A82" s="5" t="s">
        <v>134</v>
      </c>
      <c r="B82" s="9">
        <v>2039</v>
      </c>
      <c r="D82" s="7" t="s">
        <v>37</v>
      </c>
    </row>
    <row r="83" spans="1:4" x14ac:dyDescent="0.25">
      <c r="A83" s="5" t="s">
        <v>135</v>
      </c>
      <c r="B83" s="9">
        <v>2028</v>
      </c>
      <c r="D83" s="7" t="s">
        <v>136</v>
      </c>
    </row>
    <row r="84" spans="1:4" x14ac:dyDescent="0.25">
      <c r="A84" s="5" t="s">
        <v>137</v>
      </c>
      <c r="B84" s="9">
        <v>2056</v>
      </c>
      <c r="D84" s="7" t="s">
        <v>138</v>
      </c>
    </row>
    <row r="85" spans="1:4" x14ac:dyDescent="0.25">
      <c r="A85" s="5" t="s">
        <v>139</v>
      </c>
      <c r="B85" s="9">
        <v>2066</v>
      </c>
      <c r="D85" s="7" t="s">
        <v>140</v>
      </c>
    </row>
    <row r="86" spans="1:4" x14ac:dyDescent="0.25">
      <c r="A86" s="5" t="s">
        <v>141</v>
      </c>
      <c r="B86" s="9">
        <v>2072</v>
      </c>
      <c r="D86" s="7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5" x14ac:dyDescent="0.25"/>
  <cols>
    <col min="1" max="1" width="40" customWidth="1"/>
    <col min="2" max="2" width="15" customWidth="1"/>
  </cols>
  <sheetData>
    <row r="1" spans="1:2" ht="16.5" x14ac:dyDescent="0.25">
      <c r="A1" s="1" t="s">
        <v>143</v>
      </c>
    </row>
    <row r="3" spans="1:2" x14ac:dyDescent="0.25">
      <c r="A3" s="3" t="s">
        <v>144</v>
      </c>
      <c r="B3" s="4"/>
    </row>
    <row r="4" spans="1:2" x14ac:dyDescent="0.25">
      <c r="A4" s="5" t="s">
        <v>145</v>
      </c>
      <c r="B4" s="8">
        <v>620000</v>
      </c>
    </row>
    <row r="5" spans="1:2" x14ac:dyDescent="0.25">
      <c r="A5" s="5" t="s">
        <v>146</v>
      </c>
      <c r="B5" s="8">
        <v>1480000</v>
      </c>
    </row>
    <row r="6" spans="1:2" x14ac:dyDescent="0.25">
      <c r="A6" s="5" t="s">
        <v>147</v>
      </c>
      <c r="B6" s="8">
        <v>400000</v>
      </c>
    </row>
    <row r="7" spans="1:2" x14ac:dyDescent="0.25">
      <c r="A7" s="10" t="s">
        <v>148</v>
      </c>
      <c r="B7" s="11">
        <f>SUM(B4:B6)</f>
        <v>2500000</v>
      </c>
    </row>
    <row r="8" spans="1:2" x14ac:dyDescent="0.25">
      <c r="A8" s="3" t="s">
        <v>149</v>
      </c>
      <c r="B8" s="4"/>
    </row>
    <row r="9" spans="1:2" x14ac:dyDescent="0.25">
      <c r="A9" s="5" t="s">
        <v>150</v>
      </c>
      <c r="B9" s="8">
        <v>1000000</v>
      </c>
    </row>
    <row r="10" spans="1:2" x14ac:dyDescent="0.25">
      <c r="A10" s="5" t="s">
        <v>151</v>
      </c>
      <c r="B10" s="8">
        <v>1350000</v>
      </c>
    </row>
    <row r="11" spans="1:2" x14ac:dyDescent="0.25">
      <c r="A11" s="5" t="s">
        <v>152</v>
      </c>
      <c r="B11" s="8">
        <v>900000</v>
      </c>
    </row>
    <row r="12" spans="1:2" x14ac:dyDescent="0.25">
      <c r="A12" s="5" t="s">
        <v>153</v>
      </c>
      <c r="B12" s="8">
        <v>700000</v>
      </c>
    </row>
    <row r="13" spans="1:2" x14ac:dyDescent="0.25">
      <c r="A13" s="5" t="s">
        <v>154</v>
      </c>
      <c r="B13" s="8">
        <v>450000</v>
      </c>
    </row>
    <row r="14" spans="1:2" x14ac:dyDescent="0.25">
      <c r="A14" s="5" t="s">
        <v>155</v>
      </c>
      <c r="B14" s="8">
        <v>800000</v>
      </c>
    </row>
    <row r="15" spans="1:2" x14ac:dyDescent="0.25">
      <c r="A15" s="5" t="s">
        <v>156</v>
      </c>
      <c r="B15" s="8">
        <v>1050000</v>
      </c>
    </row>
    <row r="16" spans="1:2" x14ac:dyDescent="0.25">
      <c r="A16" s="5" t="s">
        <v>157</v>
      </c>
      <c r="B16" s="8">
        <v>620000</v>
      </c>
    </row>
    <row r="17" spans="1:2" x14ac:dyDescent="0.25">
      <c r="A17" s="5" t="s">
        <v>158</v>
      </c>
      <c r="B17" s="8">
        <v>180000</v>
      </c>
    </row>
    <row r="18" spans="1:2" x14ac:dyDescent="0.25">
      <c r="A18" s="5" t="s">
        <v>159</v>
      </c>
      <c r="B18" s="8">
        <v>500000</v>
      </c>
    </row>
    <row r="19" spans="1:2" x14ac:dyDescent="0.25">
      <c r="A19" s="5" t="s">
        <v>160</v>
      </c>
      <c r="B19" s="8">
        <v>420000</v>
      </c>
    </row>
    <row r="20" spans="1:2" x14ac:dyDescent="0.25">
      <c r="A20" s="10" t="s">
        <v>161</v>
      </c>
      <c r="B20" s="11">
        <f>SUM(B9:B19)</f>
        <v>7970000</v>
      </c>
    </row>
    <row r="21" spans="1:2" x14ac:dyDescent="0.25">
      <c r="A21" s="3" t="s">
        <v>162</v>
      </c>
      <c r="B21" s="4"/>
    </row>
    <row r="22" spans="1:2" x14ac:dyDescent="0.25">
      <c r="A22" s="5" t="s">
        <v>163</v>
      </c>
      <c r="B22" s="8">
        <v>11500000</v>
      </c>
    </row>
    <row r="23" spans="1:2" x14ac:dyDescent="0.25">
      <c r="A23" s="5" t="s">
        <v>164</v>
      </c>
      <c r="B23" s="8">
        <v>5000000</v>
      </c>
    </row>
    <row r="24" spans="1:2" x14ac:dyDescent="0.25">
      <c r="A24" s="5" t="s">
        <v>165</v>
      </c>
      <c r="B24" s="8">
        <v>220000</v>
      </c>
    </row>
    <row r="25" spans="1:2" x14ac:dyDescent="0.25">
      <c r="A25" s="10" t="s">
        <v>166</v>
      </c>
      <c r="B25" s="11">
        <f>SUM(B22:B24)</f>
        <v>16720000</v>
      </c>
    </row>
    <row r="26" spans="1:2" x14ac:dyDescent="0.25">
      <c r="A26" s="3" t="s">
        <v>167</v>
      </c>
      <c r="B26" s="4"/>
    </row>
    <row r="27" spans="1:2" x14ac:dyDescent="0.25">
      <c r="A27" s="5" t="s">
        <v>168</v>
      </c>
      <c r="B27" s="8">
        <v>1800000</v>
      </c>
    </row>
    <row r="28" spans="1:2" x14ac:dyDescent="0.25">
      <c r="A28" s="5" t="s">
        <v>169</v>
      </c>
      <c r="B28" s="8">
        <v>900000</v>
      </c>
    </row>
    <row r="29" spans="1:2" x14ac:dyDescent="0.25">
      <c r="A29" s="5" t="s">
        <v>170</v>
      </c>
      <c r="B29" s="8">
        <v>85000</v>
      </c>
    </row>
    <row r="30" spans="1:2" x14ac:dyDescent="0.25">
      <c r="A30" s="10" t="s">
        <v>171</v>
      </c>
      <c r="B30" s="11">
        <f>SUM(B27:B29)</f>
        <v>2785000</v>
      </c>
    </row>
    <row r="32" spans="1:2" x14ac:dyDescent="0.25">
      <c r="A32" s="10" t="s">
        <v>172</v>
      </c>
      <c r="B32" s="12">
        <f>B7+B20+B25</f>
        <v>27190000</v>
      </c>
    </row>
    <row r="33" spans="1:2" x14ac:dyDescent="0.25">
      <c r="A33" s="10" t="s">
        <v>173</v>
      </c>
      <c r="B33" s="12">
        <f>B32-B30</f>
        <v>24405000</v>
      </c>
    </row>
    <row r="35" spans="1:2" x14ac:dyDescent="0.25">
      <c r="A35" s="10" t="s">
        <v>174</v>
      </c>
      <c r="B35" s="13">
        <f>B33-24405000</f>
        <v>0</v>
      </c>
    </row>
    <row r="37" spans="1:2" x14ac:dyDescent="0.25">
      <c r="A37" s="10" t="s">
        <v>175</v>
      </c>
      <c r="B37" s="12">
        <f>B7+B20-B17-B18</f>
        <v>9790000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5" x14ac:dyDescent="0.25"/>
  <cols>
    <col min="1" max="1" width="34" customWidth="1"/>
    <col min="2" max="5" width="14" customWidth="1"/>
  </cols>
  <sheetData>
    <row r="1" spans="1:5" ht="16.5" x14ac:dyDescent="0.25">
      <c r="A1" s="1" t="s">
        <v>176</v>
      </c>
    </row>
    <row r="2" spans="1:5" x14ac:dyDescent="0.25">
      <c r="A2" s="2" t="s">
        <v>177</v>
      </c>
    </row>
    <row r="4" spans="1:5" x14ac:dyDescent="0.25">
      <c r="A4" t="s">
        <v>178</v>
      </c>
      <c r="B4" s="14">
        <f>BalanceSheet!B27*Inputs!$B$25</f>
        <v>63000.000000000007</v>
      </c>
    </row>
    <row r="6" spans="1:5" x14ac:dyDescent="0.25">
      <c r="A6" s="15"/>
      <c r="B6" s="15" t="s">
        <v>179</v>
      </c>
      <c r="C6" s="15" t="s">
        <v>180</v>
      </c>
      <c r="D6" s="15" t="s">
        <v>181</v>
      </c>
      <c r="E6" s="15" t="s">
        <v>182</v>
      </c>
    </row>
    <row r="7" spans="1:5" x14ac:dyDescent="0.25">
      <c r="A7" s="5" t="s">
        <v>183</v>
      </c>
      <c r="B7" s="16">
        <f>Inputs!$B$27+Inputs!$B$28</f>
        <v>1200000</v>
      </c>
      <c r="C7" s="16">
        <f>Inputs!$B$29</f>
        <v>720000</v>
      </c>
      <c r="D7" s="16">
        <f>B7+C7</f>
        <v>1920000</v>
      </c>
      <c r="E7" s="16">
        <f>Inputs!$B$30</f>
        <v>300000</v>
      </c>
    </row>
    <row r="8" spans="1:5" x14ac:dyDescent="0.25">
      <c r="A8" s="5" t="s">
        <v>184</v>
      </c>
      <c r="B8" s="16">
        <f>-Inputs!$B$22</f>
        <v>-18000</v>
      </c>
      <c r="C8" s="16">
        <f>-Inputs!$B$22</f>
        <v>-18000</v>
      </c>
      <c r="D8" s="16">
        <f>B8+C8</f>
        <v>-36000</v>
      </c>
      <c r="E8" s="16">
        <f>-MIN(Inputs!$B$22,E7*0.05)</f>
        <v>-15000</v>
      </c>
    </row>
    <row r="9" spans="1:5" x14ac:dyDescent="0.25">
      <c r="A9" s="5" t="s">
        <v>185</v>
      </c>
      <c r="B9" s="16">
        <f>-$B$4/2</f>
        <v>-31500.000000000004</v>
      </c>
      <c r="C9" s="16">
        <f>-$B$4/2</f>
        <v>-31500.000000000004</v>
      </c>
      <c r="D9" s="16">
        <f>B9+C9</f>
        <v>-63000.000000000007</v>
      </c>
      <c r="E9" s="16">
        <v>0</v>
      </c>
    </row>
    <row r="10" spans="1:5" x14ac:dyDescent="0.25">
      <c r="A10" s="5" t="s">
        <v>186</v>
      </c>
      <c r="B10" s="16">
        <f>SUM(B7:B9)</f>
        <v>1150500</v>
      </c>
      <c r="C10" s="16">
        <f>SUM(C7:C9)</f>
        <v>670500</v>
      </c>
      <c r="D10" s="16">
        <f>SUM(D7:D9)</f>
        <v>1821000</v>
      </c>
      <c r="E10" s="16">
        <f>SUM(E7:E9)</f>
        <v>285000</v>
      </c>
    </row>
    <row r="11" spans="1:5" x14ac:dyDescent="0.25">
      <c r="A11" s="5" t="s">
        <v>187</v>
      </c>
      <c r="B11" s="16">
        <f>-(Inputs!$B$18+Inputs!$B$20+2*Inputs!$B$21)</f>
        <v>-395000</v>
      </c>
      <c r="C11" s="16">
        <f>-Inputs!$B$18</f>
        <v>-145000</v>
      </c>
      <c r="D11" s="16">
        <f>-(Inputs!$B$19+Inputs!$B$20+2*Inputs!$B$21)</f>
        <v>-540000</v>
      </c>
      <c r="E11" s="16">
        <f>-Inputs!$B$18</f>
        <v>-145000</v>
      </c>
    </row>
    <row r="12" spans="1:5" x14ac:dyDescent="0.25">
      <c r="A12" s="5" t="s">
        <v>188</v>
      </c>
      <c r="B12" s="16">
        <f>MAX(B10+B11,0)</f>
        <v>755500</v>
      </c>
      <c r="C12" s="16">
        <f>MAX(C10+C11,0)</f>
        <v>525500</v>
      </c>
      <c r="D12" s="16">
        <f>MAX(D10+D11,0)</f>
        <v>1281000</v>
      </c>
      <c r="E12" s="16">
        <f>MAX(E10+E11,0)</f>
        <v>140000</v>
      </c>
    </row>
    <row r="13" spans="1:5" x14ac:dyDescent="0.25">
      <c r="A13" s="5" t="s">
        <v>189</v>
      </c>
      <c r="B13" s="11">
        <f>IF(B12&gt;200000,Inputs!$B$24+(B12-200000)*Inputs!$B$23,IF(B12&gt;150000,9000+(B12-150000)*0.14,IF(B12&gt;100000,4000+(B12-100000)*0.1,IF(B12&gt;50000,1000+(B12-50000)*0.06,B12*0.02))))</f>
        <v>110435</v>
      </c>
      <c r="C13" s="11">
        <f>IF(C12&gt;200000,Inputs!$B$24+(C12-200000)*Inputs!$B$23,IF(C12&gt;150000,9000+(C12-150000)*0.14,IF(C12&gt;100000,4000+(C12-100000)*0.1,IF(C12&gt;50000,1000+(C12-50000)*0.06,C12*0.02))))</f>
        <v>71335</v>
      </c>
      <c r="D13" s="11">
        <f>IF(D12&gt;200000,Inputs!$B$24+(D12-200000)*Inputs!$B$23,IF(D12&gt;150000,9000+(D12-150000)*0.14,IF(D12&gt;100000,4000+(D12-100000)*0.1,IF(D12&gt;50000,1000+(D12-50000)*0.06,D12*0.02))))</f>
        <v>199770</v>
      </c>
      <c r="E13" s="11">
        <f>IF(E12&gt;200000,Inputs!$B$24+(E12-200000)*Inputs!$B$23,IF(E12&gt;150000,9000+(E12-150000)*0.14,IF(E12&gt;100000,4000+(E12-100000)*0.1,IF(E12&gt;50000,1000+(E12-50000)*0.06,E12*0.02))))</f>
        <v>8000</v>
      </c>
    </row>
    <row r="15" spans="1:5" x14ac:dyDescent="0.25">
      <c r="A15" t="s">
        <v>190</v>
      </c>
      <c r="B15" s="17">
        <f>B13+C13</f>
        <v>181770</v>
      </c>
    </row>
    <row r="16" spans="1:5" x14ac:dyDescent="0.25">
      <c r="A16" t="s">
        <v>191</v>
      </c>
      <c r="B16" s="12">
        <f>D13</f>
        <v>199770</v>
      </c>
    </row>
    <row r="17" spans="1:2" x14ac:dyDescent="0.25">
      <c r="A17" t="s">
        <v>192</v>
      </c>
      <c r="B17" s="12">
        <f>B16-B15</f>
        <v>18000</v>
      </c>
    </row>
    <row r="19" spans="1:2" x14ac:dyDescent="0.25">
      <c r="A19" t="s">
        <v>193</v>
      </c>
      <c r="B19" s="13">
        <f>B15-181770</f>
        <v>0</v>
      </c>
    </row>
    <row r="20" spans="1:2" x14ac:dyDescent="0.25">
      <c r="A20" t="s">
        <v>194</v>
      </c>
      <c r="B20" s="13">
        <f>B16-199770</f>
        <v>0</v>
      </c>
    </row>
    <row r="22" spans="1:2" x14ac:dyDescent="0.25">
      <c r="A22" s="10" t="s">
        <v>195</v>
      </c>
    </row>
    <row r="23" spans="1:2" x14ac:dyDescent="0.25">
      <c r="A23" s="5" t="s">
        <v>196</v>
      </c>
      <c r="B23" s="14">
        <f>D7</f>
        <v>1920000</v>
      </c>
    </row>
    <row r="24" spans="1:2" x14ac:dyDescent="0.25">
      <c r="A24" s="5" t="s">
        <v>197</v>
      </c>
      <c r="B24" s="14">
        <f>-B15</f>
        <v>-181770</v>
      </c>
    </row>
    <row r="25" spans="1:2" x14ac:dyDescent="0.25">
      <c r="A25" s="5" t="s">
        <v>184</v>
      </c>
      <c r="B25" s="14">
        <f>D8</f>
        <v>-36000</v>
      </c>
    </row>
    <row r="26" spans="1:2" x14ac:dyDescent="0.25">
      <c r="A26" s="5" t="s">
        <v>198</v>
      </c>
      <c r="B26" s="14">
        <f>-Inputs!$B$31</f>
        <v>-984000</v>
      </c>
    </row>
    <row r="27" spans="1:2" x14ac:dyDescent="0.25">
      <c r="A27" s="5" t="s">
        <v>199</v>
      </c>
      <c r="B27" s="17">
        <f>SUM(B23:B26)</f>
        <v>718230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9"/>
  <sheetViews>
    <sheetView workbookViewId="0"/>
  </sheetViews>
  <sheetFormatPr defaultRowHeight="15" x14ac:dyDescent="0.25"/>
  <cols>
    <col min="1" max="1" width="12" customWidth="1"/>
    <col min="2" max="10" width="15" customWidth="1"/>
  </cols>
  <sheetData>
    <row r="1" spans="1:6" ht="16.5" x14ac:dyDescent="0.25">
      <c r="A1" s="1" t="s">
        <v>200</v>
      </c>
    </row>
    <row r="2" spans="1:6" x14ac:dyDescent="0.25">
      <c r="A2" s="2" t="s">
        <v>201</v>
      </c>
    </row>
    <row r="4" spans="1:6" x14ac:dyDescent="0.25">
      <c r="A4" s="15" t="s">
        <v>202</v>
      </c>
      <c r="B4" s="15" t="s">
        <v>203</v>
      </c>
      <c r="C4" s="15" t="s">
        <v>204</v>
      </c>
      <c r="D4" s="15" t="s">
        <v>205</v>
      </c>
      <c r="F4" s="7" t="s">
        <v>206</v>
      </c>
    </row>
    <row r="5" spans="1:6" x14ac:dyDescent="0.25">
      <c r="A5">
        <v>55</v>
      </c>
      <c r="B5" s="8">
        <v>17140</v>
      </c>
      <c r="C5" s="8">
        <v>18186</v>
      </c>
      <c r="D5" s="8">
        <v>6119</v>
      </c>
    </row>
    <row r="6" spans="1:6" x14ac:dyDescent="0.25">
      <c r="A6">
        <v>60</v>
      </c>
      <c r="B6" s="8">
        <v>23050</v>
      </c>
      <c r="C6" s="8">
        <v>23210</v>
      </c>
      <c r="D6" s="8">
        <v>7887</v>
      </c>
    </row>
    <row r="7" spans="1:6" x14ac:dyDescent="0.25">
      <c r="A7">
        <v>62</v>
      </c>
      <c r="B7" s="8">
        <v>26578</v>
      </c>
      <c r="C7" s="8">
        <v>25895</v>
      </c>
      <c r="D7" s="8">
        <v>8765</v>
      </c>
    </row>
    <row r="8" spans="1:6" x14ac:dyDescent="0.25">
      <c r="A8">
        <v>65</v>
      </c>
      <c r="B8" s="8">
        <v>32542</v>
      </c>
      <c r="C8" s="8">
        <v>31599</v>
      </c>
      <c r="D8" s="8">
        <v>10452</v>
      </c>
    </row>
    <row r="9" spans="1:6" x14ac:dyDescent="0.25">
      <c r="A9">
        <v>70</v>
      </c>
      <c r="B9" s="8">
        <v>42122</v>
      </c>
      <c r="C9" s="8">
        <v>40990</v>
      </c>
      <c r="D9" s="8">
        <v>13008</v>
      </c>
    </row>
    <row r="10" spans="1:6" x14ac:dyDescent="0.25">
      <c r="A10">
        <v>75</v>
      </c>
      <c r="B10" s="8">
        <v>53887</v>
      </c>
      <c r="C10" s="8">
        <v>53228</v>
      </c>
      <c r="D10" s="8">
        <v>16184</v>
      </c>
    </row>
    <row r="11" spans="1:6" x14ac:dyDescent="0.25">
      <c r="A11">
        <v>80</v>
      </c>
      <c r="B11" s="8">
        <v>63644</v>
      </c>
      <c r="C11" s="8">
        <v>62772</v>
      </c>
      <c r="D11" s="8">
        <v>18920</v>
      </c>
    </row>
    <row r="12" spans="1:6" x14ac:dyDescent="0.25">
      <c r="A12" s="10" t="s">
        <v>207</v>
      </c>
      <c r="B12" s="18">
        <f>(B11/B10)^(1/5)-1</f>
        <v>3.3843239528461577E-2</v>
      </c>
      <c r="C12" s="18">
        <f>(C11/C10)^(1/5)-1</f>
        <v>3.353494111658728E-2</v>
      </c>
      <c r="D12" s="18">
        <f>(D11/D10)^(1/5)-1</f>
        <v>3.1732360425354988E-2</v>
      </c>
    </row>
    <row r="14" spans="1:6" x14ac:dyDescent="0.25">
      <c r="A14" s="15" t="s">
        <v>202</v>
      </c>
      <c r="B14" s="15" t="s">
        <v>208</v>
      </c>
      <c r="C14" s="15" t="s">
        <v>209</v>
      </c>
      <c r="D14" s="15" t="s">
        <v>210</v>
      </c>
    </row>
    <row r="15" spans="1:6" x14ac:dyDescent="0.25">
      <c r="A15">
        <v>55</v>
      </c>
      <c r="B15" s="14">
        <f>B5</f>
        <v>17140</v>
      </c>
      <c r="C15" s="14">
        <f>C5</f>
        <v>18186</v>
      </c>
      <c r="D15" s="14">
        <f>D5</f>
        <v>6119</v>
      </c>
    </row>
    <row r="16" spans="1:6" x14ac:dyDescent="0.25">
      <c r="A16">
        <v>56</v>
      </c>
      <c r="B16" s="14">
        <f>B5*(B6/B5)^((56-55)/(60-55))</f>
        <v>18186.236730894503</v>
      </c>
      <c r="C16" s="14">
        <f>C5*(C6/C5)^((56-55)/(60-55))</f>
        <v>19095.224887392997</v>
      </c>
      <c r="D16" s="14">
        <f>D5*(D6/D5)^((56-55)/(60-55))</f>
        <v>6437.6406511113018</v>
      </c>
    </row>
    <row r="17" spans="1:4" x14ac:dyDescent="0.25">
      <c r="A17">
        <v>57</v>
      </c>
      <c r="B17" s="14">
        <f>B5*(B6/B5)^((57-55)/(60-55))</f>
        <v>19296.336431279837</v>
      </c>
      <c r="C17" s="14">
        <f>C5*(C6/C5)^((57-55)/(60-55))</f>
        <v>20049.907263835528</v>
      </c>
      <c r="D17" s="14">
        <f>D5*(D6/D5)^((57-55)/(60-55))</f>
        <v>6772.8741874229036</v>
      </c>
    </row>
    <row r="18" spans="1:4" x14ac:dyDescent="0.25">
      <c r="A18">
        <v>58</v>
      </c>
      <c r="B18" s="14">
        <f>B5*(B6/B5)^((58-55)/(60-55))</f>
        <v>20474.197338286995</v>
      </c>
      <c r="C18" s="14">
        <f>C5*(C6/C5)^((58-55)/(60-55))</f>
        <v>21052.319816029572</v>
      </c>
      <c r="D18" s="14">
        <f>D5*(D6/D5)^((58-55)/(60-55))</f>
        <v>7125.5646664187143</v>
      </c>
    </row>
    <row r="19" spans="1:4" x14ac:dyDescent="0.25">
      <c r="A19">
        <v>59</v>
      </c>
      <c r="B19" s="14">
        <f>B5*(B6/B5)^((59-55)/(60-55))</f>
        <v>21723.95563997301</v>
      </c>
      <c r="C19" s="14">
        <f>C5*(C6/C5)^((59-55)/(60-55))</f>
        <v>22104.848855625463</v>
      </c>
      <c r="D19" s="14">
        <f>D5*(D6/D5)^((59-55)/(60-55))</f>
        <v>7496.6211404901878</v>
      </c>
    </row>
    <row r="20" spans="1:4" x14ac:dyDescent="0.25">
      <c r="A20">
        <v>60</v>
      </c>
      <c r="B20" s="14">
        <f>B6</f>
        <v>23050</v>
      </c>
      <c r="C20" s="14">
        <f>C6</f>
        <v>23210</v>
      </c>
      <c r="D20" s="14">
        <f>D6</f>
        <v>7887</v>
      </c>
    </row>
    <row r="21" spans="1:4" x14ac:dyDescent="0.25">
      <c r="A21">
        <v>61</v>
      </c>
      <c r="B21" s="14">
        <f>B6*(B7/B6)^((61-60)/(62-60))</f>
        <v>24751.220171943038</v>
      </c>
      <c r="C21" s="14">
        <f>C6*(C7/C6)^((61-60)/(62-60))</f>
        <v>24515.769414807273</v>
      </c>
      <c r="D21" s="14">
        <f>D6*(D7/D6)^((61-60)/(62-60))</f>
        <v>8314.418500412401</v>
      </c>
    </row>
    <row r="22" spans="1:4" x14ac:dyDescent="0.25">
      <c r="A22">
        <v>62</v>
      </c>
      <c r="B22" s="14">
        <f>B7</f>
        <v>26578</v>
      </c>
      <c r="C22" s="14">
        <f>C7</f>
        <v>25895</v>
      </c>
      <c r="D22" s="14">
        <f>D7</f>
        <v>8765</v>
      </c>
    </row>
    <row r="23" spans="1:4" x14ac:dyDescent="0.25">
      <c r="A23">
        <v>63</v>
      </c>
      <c r="B23" s="14">
        <f>B7*(B8/B7)^((63-62)/(65-62))</f>
        <v>28433.453483823323</v>
      </c>
      <c r="C23" s="14">
        <f>C7*(C8/C7)^((63-62)/(65-62))</f>
        <v>27671.650037838353</v>
      </c>
      <c r="D23" s="14">
        <f>D7*(D8/D7)^((63-62)/(65-62))</f>
        <v>9294.6793927366562</v>
      </c>
    </row>
    <row r="24" spans="1:4" x14ac:dyDescent="0.25">
      <c r="A24">
        <v>64</v>
      </c>
      <c r="B24" s="14">
        <f>B7*(B8/B7)^((64-62)/(65-62))</f>
        <v>30418.439198462806</v>
      </c>
      <c r="C24" s="14">
        <f>C7*(C8/C7)^((64-62)/(65-62))</f>
        <v>29570.19562914074</v>
      </c>
      <c r="D24" s="14">
        <f>D7*(D8/D7)^((64-62)/(65-62))</f>
        <v>9856.367942243407</v>
      </c>
    </row>
    <row r="25" spans="1:4" x14ac:dyDescent="0.25">
      <c r="A25">
        <v>65</v>
      </c>
      <c r="B25" s="14">
        <f>B8</f>
        <v>32542</v>
      </c>
      <c r="C25" s="14">
        <f>C8</f>
        <v>31599</v>
      </c>
      <c r="D25" s="14">
        <f>D8</f>
        <v>10452</v>
      </c>
    </row>
    <row r="26" spans="1:4" x14ac:dyDescent="0.25">
      <c r="A26">
        <v>66</v>
      </c>
      <c r="B26" s="14">
        <f>B8*(B9/B8)^((66-65)/(70-65))</f>
        <v>34265.509148780548</v>
      </c>
      <c r="C26" s="14">
        <f>C8*(C9/C8)^((66-65)/(70-65))</f>
        <v>33286.969247733367</v>
      </c>
      <c r="D26" s="14">
        <f>D8*(D9/D8)^((66-65)/(70-65))</f>
        <v>10919.471685392056</v>
      </c>
    </row>
    <row r="27" spans="1:4" x14ac:dyDescent="0.25">
      <c r="A27">
        <v>67</v>
      </c>
      <c r="B27" s="14">
        <f>B8*(B9/B8)^((67-65)/(70-65))</f>
        <v>36080.299834833859</v>
      </c>
      <c r="C27" s="14">
        <f>C8*(C9/C8)^((67-65)/(70-65))</f>
        <v>35065.107177427992</v>
      </c>
      <c r="D27" s="14">
        <f>D8*(D9/D8)^((67-65)/(70-65))</f>
        <v>11407.851309613357</v>
      </c>
    </row>
    <row r="28" spans="1:4" x14ac:dyDescent="0.25">
      <c r="A28">
        <v>68</v>
      </c>
      <c r="B28" s="14">
        <f>B8*(B9/B8)^((68-65)/(70-65))</f>
        <v>37991.206566321816</v>
      </c>
      <c r="C28" s="14">
        <f>C8*(C9/C8)^((68-65)/(70-65))</f>
        <v>36938.230459303144</v>
      </c>
      <c r="D28" s="14">
        <f>D8*(D9/D8)^((68-65)/(70-65))</f>
        <v>11918.073992201082</v>
      </c>
    </row>
    <row r="29" spans="1:4" x14ac:dyDescent="0.25">
      <c r="A29">
        <v>69</v>
      </c>
      <c r="B29" s="14">
        <f>B8*(B9/B8)^((69-65)/(70-65))</f>
        <v>40003.319899560935</v>
      </c>
      <c r="C29" s="14">
        <f>C8*(C9/C8)^((69-65)/(70-65))</f>
        <v>38911.413062581472</v>
      </c>
      <c r="D29" s="14">
        <f>D8*(D9/D8)^((69-65)/(70-65))</f>
        <v>12451.116676449212</v>
      </c>
    </row>
    <row r="30" spans="1:4" x14ac:dyDescent="0.25">
      <c r="A30">
        <v>70</v>
      </c>
      <c r="B30" s="14">
        <f>B9</f>
        <v>42122</v>
      </c>
      <c r="C30" s="14">
        <f>C9</f>
        <v>40990</v>
      </c>
      <c r="D30" s="14">
        <f>D9</f>
        <v>13008</v>
      </c>
    </row>
    <row r="31" spans="1:4" x14ac:dyDescent="0.25">
      <c r="A31">
        <v>71</v>
      </c>
      <c r="B31" s="14">
        <f>B9*(B10/B9)^((71-70)/(75-70))</f>
        <v>44249.053788011741</v>
      </c>
      <c r="C31" s="14">
        <f>C9*(C10/C9)^((71-70)/(75-70))</f>
        <v>43188.72312279437</v>
      </c>
      <c r="D31" s="14">
        <f>D9*(D10/D9)^((71-70)/(75-70))</f>
        <v>13588.940484102917</v>
      </c>
    </row>
    <row r="32" spans="1:4" x14ac:dyDescent="0.25">
      <c r="A32">
        <v>72</v>
      </c>
      <c r="B32" s="14">
        <f>B9*(B10/B9)^((72-70)/(75-70))</f>
        <v>46483.518378385568</v>
      </c>
      <c r="C32" s="14">
        <f>C9*(C10/C9)^((72-70)/(75-70))</f>
        <v>45505.38680110743</v>
      </c>
      <c r="D32" s="14">
        <f>D9*(D10/D9)^((72-70)/(75-70))</f>
        <v>14195.825913321894</v>
      </c>
    </row>
    <row r="33" spans="1:4" x14ac:dyDescent="0.25">
      <c r="A33">
        <v>73</v>
      </c>
      <c r="B33" s="14">
        <f>B9*(B10/B9)^((73-70)/(75-70))</f>
        <v>48830.817743250918</v>
      </c>
      <c r="C33" s="14">
        <f>C9*(C10/C9)^((73-70)/(75-70))</f>
        <v>47946.317422510139</v>
      </c>
      <c r="D33" s="14">
        <f>D9*(D10/D9)^((73-70)/(75-70))</f>
        <v>14829.814995296521</v>
      </c>
    </row>
    <row r="34" spans="1:4" x14ac:dyDescent="0.25">
      <c r="A34">
        <v>74</v>
      </c>
      <c r="B34" s="14">
        <f>B9*(B10/B9)^((74-70)/(75-70))</f>
        <v>51296.649751524339</v>
      </c>
      <c r="C34" s="14">
        <f>C9*(C10/C9)^((74-70)/(75-70))</f>
        <v>50518.180725015911</v>
      </c>
      <c r="D34" s="14">
        <f>D9*(D10/D9)^((74-70)/(75-70))</f>
        <v>15492.118185834979</v>
      </c>
    </row>
    <row r="35" spans="1:4" x14ac:dyDescent="0.25">
      <c r="A35">
        <v>75</v>
      </c>
      <c r="B35" s="14">
        <f>B10</f>
        <v>53887</v>
      </c>
      <c r="C35" s="14">
        <f>C10</f>
        <v>53228</v>
      </c>
      <c r="D35" s="14">
        <f>D10</f>
        <v>16184</v>
      </c>
    </row>
    <row r="36" spans="1:4" x14ac:dyDescent="0.25">
      <c r="A36">
        <v>76</v>
      </c>
      <c r="B36" s="14">
        <f>B10*(B11/B10)^((76-75)/(80-75))</f>
        <v>55710.710648470209</v>
      </c>
      <c r="C36" s="14">
        <f>C10*(C11/C10)^((76-75)/(80-75))</f>
        <v>55012.997845753707</v>
      </c>
      <c r="D36" s="14">
        <f>D10*(D11/D10)^((76-75)/(80-75))</f>
        <v>16697.556521123945</v>
      </c>
    </row>
    <row r="37" spans="1:4" x14ac:dyDescent="0.25">
      <c r="A37">
        <v>77</v>
      </c>
      <c r="B37" s="14">
        <f>B10*(B11/B10)^((77-75)/(80-75))</f>
        <v>57596.141573247209</v>
      </c>
      <c r="C37" s="14">
        <f>C10*(C11/C10)^((77-75)/(80-75))</f>
        <v>56857.855489157992</v>
      </c>
      <c r="D37" s="14">
        <f>D10*(D11/D10)^((77-75)/(80-75))</f>
        <v>17227.409402874986</v>
      </c>
    </row>
    <row r="38" spans="1:4" x14ac:dyDescent="0.25">
      <c r="A38">
        <v>78</v>
      </c>
      <c r="B38" s="14">
        <f>B10*(B11/B10)^((78-75)/(80-75))</f>
        <v>59545.381588425793</v>
      </c>
      <c r="C38" s="14">
        <f>C10*(C11/C10)^((78-75)/(80-75))</f>
        <v>58764.580325002338</v>
      </c>
      <c r="D38" s="14">
        <f>D10*(D11/D10)^((78-75)/(80-75))</f>
        <v>17774.075767242161</v>
      </c>
    </row>
    <row r="39" spans="1:4" x14ac:dyDescent="0.25">
      <c r="A39">
        <v>79</v>
      </c>
      <c r="B39" s="14">
        <f>B10*(B11/B10)^((79-75)/(80-75))</f>
        <v>61560.590200336541</v>
      </c>
      <c r="C39" s="14">
        <f>C10*(C11/C10)^((79-75)/(80-75))</f>
        <v>60735.247065942247</v>
      </c>
      <c r="D39" s="14">
        <f>D10*(D11/D10)^((79-75)/(80-75))</f>
        <v>18338.089145715854</v>
      </c>
    </row>
    <row r="40" spans="1:4" x14ac:dyDescent="0.25">
      <c r="A40">
        <v>80</v>
      </c>
      <c r="B40" s="14">
        <f>B11</f>
        <v>63644</v>
      </c>
      <c r="C40" s="14">
        <f>C11</f>
        <v>62772</v>
      </c>
      <c r="D40" s="14">
        <f>D11</f>
        <v>18920</v>
      </c>
    </row>
    <row r="41" spans="1:4" x14ac:dyDescent="0.25">
      <c r="A41">
        <v>81</v>
      </c>
      <c r="B41" s="14">
        <f t="shared" ref="B41:B60" si="0">B40*(1+B$12)</f>
        <v>65797.919136549404</v>
      </c>
      <c r="C41" s="14">
        <f t="shared" ref="C41:C60" si="1">C40*(1+C$12)</f>
        <v>64877.055323770415</v>
      </c>
      <c r="D41" s="14">
        <f t="shared" ref="D41:D60" si="2">D40*(1+D$12)</f>
        <v>19520.376259247718</v>
      </c>
    </row>
    <row r="42" spans="1:4" x14ac:dyDescent="0.25">
      <c r="A42">
        <v>82</v>
      </c>
      <c r="B42" s="14">
        <f t="shared" si="0"/>
        <v>68024.733874361991</v>
      </c>
      <c r="C42" s="14">
        <f t="shared" si="1"/>
        <v>67052.703553870626</v>
      </c>
      <c r="D42" s="14">
        <f t="shared" si="2"/>
        <v>20139.80387434471</v>
      </c>
    </row>
    <row r="43" spans="1:4" x14ac:dyDescent="0.25">
      <c r="A43">
        <v>83</v>
      </c>
      <c r="B43" s="14">
        <f t="shared" si="0"/>
        <v>70326.911236731874</v>
      </c>
      <c r="C43" s="14">
        <f t="shared" si="1"/>
        <v>69301.312019257661</v>
      </c>
      <c r="D43" s="14">
        <f t="shared" si="2"/>
        <v>20778.887389781379</v>
      </c>
    </row>
    <row r="44" spans="1:4" x14ac:dyDescent="0.25">
      <c r="A44">
        <v>84</v>
      </c>
      <c r="B44" s="14">
        <f t="shared" si="0"/>
        <v>72707.001739013445</v>
      </c>
      <c r="C44" s="14">
        <f t="shared" si="1"/>
        <v>71625.327437125714</v>
      </c>
      <c r="D44" s="14">
        <f t="shared" si="2"/>
        <v>21438.250533671784</v>
      </c>
    </row>
    <row r="45" spans="1:4" x14ac:dyDescent="0.25">
      <c r="A45">
        <v>85</v>
      </c>
      <c r="B45" s="14">
        <f t="shared" si="0"/>
        <v>75167.642214263149</v>
      </c>
      <c r="C45" s="14">
        <f t="shared" si="1"/>
        <v>74027.278575186006</v>
      </c>
      <c r="D45" s="14">
        <f t="shared" si="2"/>
        <v>22118.536826495318</v>
      </c>
    </row>
    <row r="46" spans="1:4" x14ac:dyDescent="0.25">
      <c r="A46">
        <v>86</v>
      </c>
      <c r="B46" s="14">
        <f t="shared" si="0"/>
        <v>77711.558734510152</v>
      </c>
      <c r="C46" s="14">
        <f t="shared" si="1"/>
        <v>76509.779003226067</v>
      </c>
      <c r="D46" s="14">
        <f t="shared" si="2"/>
        <v>22820.410209155154</v>
      </c>
    </row>
    <row r="47" spans="1:4" x14ac:dyDescent="0.25">
      <c r="A47">
        <v>87</v>
      </c>
      <c r="B47" s="14">
        <f t="shared" si="0"/>
        <v>80341.569630892292</v>
      </c>
      <c r="C47" s="14">
        <f t="shared" si="1"/>
        <v>79075.529936942359</v>
      </c>
      <c r="D47" s="14">
        <f t="shared" si="2"/>
        <v>23544.555690966517</v>
      </c>
    </row>
    <row r="48" spans="1:4" x14ac:dyDescent="0.25">
      <c r="A48">
        <v>88</v>
      </c>
      <c r="B48" s="14">
        <f t="shared" si="0"/>
        <v>83060.588616003151</v>
      </c>
      <c r="C48" s="14">
        <f t="shared" si="1"/>
        <v>81727.323177140657</v>
      </c>
      <c r="D48" s="14">
        <f t="shared" si="2"/>
        <v>24291.680018207109</v>
      </c>
    </row>
    <row r="49" spans="1:10" x14ac:dyDescent="0.25">
      <c r="A49">
        <v>89</v>
      </c>
      <c r="B49" s="14">
        <f t="shared" si="0"/>
        <v>85871.628011909561</v>
      </c>
      <c r="C49" s="14">
        <f t="shared" si="1"/>
        <v>84468.044147502369</v>
      </c>
      <c r="D49" s="14">
        <f t="shared" si="2"/>
        <v>25062.512363882252</v>
      </c>
    </row>
    <row r="50" spans="1:10" x14ac:dyDescent="0.25">
      <c r="A50">
        <v>90</v>
      </c>
      <c r="B50" s="14">
        <f t="shared" si="0"/>
        <v>88777.802087415563</v>
      </c>
      <c r="C50" s="14">
        <f t="shared" si="1"/>
        <v>87300.675034222149</v>
      </c>
      <c r="D50" s="14">
        <f t="shared" si="2"/>
        <v>25857.805039377879</v>
      </c>
    </row>
    <row r="51" spans="1:10" x14ac:dyDescent="0.25">
      <c r="A51">
        <v>91</v>
      </c>
      <c r="B51" s="14">
        <f t="shared" si="0"/>
        <v>91782.33050827033</v>
      </c>
      <c r="C51" s="14">
        <f t="shared" si="1"/>
        <v>90228.298030933103</v>
      </c>
      <c r="D51" s="14">
        <f t="shared" si="2"/>
        <v>26678.334228695978</v>
      </c>
    </row>
    <row r="52" spans="1:10" x14ac:dyDescent="0.25">
      <c r="A52">
        <v>92</v>
      </c>
      <c r="B52" s="14">
        <f t="shared" si="0"/>
        <v>94888.541904142156</v>
      </c>
      <c r="C52" s="14">
        <f t="shared" si="1"/>
        <v>93254.098692450338</v>
      </c>
      <c r="D52" s="14">
        <f t="shared" si="2"/>
        <v>27524.900745989042</v>
      </c>
    </row>
    <row r="53" spans="1:10" x14ac:dyDescent="0.25">
      <c r="A53">
        <v>93</v>
      </c>
      <c r="B53" s="14">
        <f t="shared" si="0"/>
        <v>98099.877556310501</v>
      </c>
      <c r="C53" s="14">
        <f t="shared" si="1"/>
        <v>96381.369400982076</v>
      </c>
      <c r="D53" s="14">
        <f t="shared" si="2"/>
        <v>28398.33081713289</v>
      </c>
    </row>
    <row r="54" spans="1:10" x14ac:dyDescent="0.25">
      <c r="A54">
        <v>94</v>
      </c>
      <c r="B54" s="14">
        <f t="shared" si="0"/>
        <v>101419.89521016147</v>
      </c>
      <c r="C54" s="14">
        <f t="shared" si="1"/>
        <v>99613.512948580057</v>
      </c>
      <c r="D54" s="14">
        <f t="shared" si="2"/>
        <v>29299.476886100616</v>
      </c>
    </row>
    <row r="55" spans="1:10" x14ac:dyDescent="0.25">
      <c r="A55">
        <v>95</v>
      </c>
      <c r="B55" s="14">
        <f t="shared" si="0"/>
        <v>104852.27301671043</v>
      </c>
      <c r="C55" s="14">
        <f t="shared" si="1"/>
        <v>102954.04623972709</v>
      </c>
      <c r="D55" s="14">
        <f t="shared" si="2"/>
        <v>30229.218446924719</v>
      </c>
    </row>
    <row r="56" spans="1:10" x14ac:dyDescent="0.25">
      <c r="A56">
        <v>96</v>
      </c>
      <c r="B56" s="14">
        <f t="shared" si="0"/>
        <v>108400.8136075186</v>
      </c>
      <c r="C56" s="14">
        <f t="shared" si="1"/>
        <v>106406.60411809075</v>
      </c>
      <c r="D56" s="14">
        <f t="shared" si="2"/>
        <v>31188.462902059324</v>
      </c>
    </row>
    <row r="57" spans="1:10" x14ac:dyDescent="0.25">
      <c r="A57">
        <v>97</v>
      </c>
      <c r="B57" s="14">
        <f t="shared" si="0"/>
        <v>112069.44830751797</v>
      </c>
      <c r="C57" s="14">
        <f t="shared" si="1"/>
        <v>109974.94332160693</v>
      </c>
      <c r="D57" s="14">
        <f t="shared" si="2"/>
        <v>32178.146447980282</v>
      </c>
    </row>
    <row r="58" spans="1:10" x14ac:dyDescent="0.25">
      <c r="A58">
        <v>98</v>
      </c>
      <c r="B58" s="14">
        <f t="shared" si="0"/>
        <v>115862.24149041185</v>
      </c>
      <c r="C58" s="14">
        <f t="shared" si="1"/>
        <v>113662.94657019705</v>
      </c>
      <c r="D58" s="14">
        <f t="shared" si="2"/>
        <v>33199.234988887445</v>
      </c>
    </row>
    <row r="59" spans="1:10" x14ac:dyDescent="0.25">
      <c r="A59">
        <v>99</v>
      </c>
      <c r="B59" s="14">
        <f t="shared" si="0"/>
        <v>119783.39508147632</v>
      </c>
      <c r="C59" s="14">
        <f t="shared" si="1"/>
        <v>117474.62679056641</v>
      </c>
      <c r="D59" s="14">
        <f t="shared" si="2"/>
        <v>34252.72507940088</v>
      </c>
    </row>
    <row r="60" spans="1:10" x14ac:dyDescent="0.25">
      <c r="A60">
        <v>100</v>
      </c>
      <c r="B60" s="14">
        <f t="shared" si="0"/>
        <v>123837.25321275108</v>
      </c>
      <c r="C60" s="14">
        <f t="shared" si="1"/>
        <v>121414.13148268113</v>
      </c>
      <c r="D60" s="14">
        <f t="shared" si="2"/>
        <v>35339.644897171027</v>
      </c>
    </row>
    <row r="62" spans="1:10" ht="39" x14ac:dyDescent="0.25">
      <c r="A62" s="19" t="s">
        <v>211</v>
      </c>
      <c r="B62" s="19" t="s">
        <v>212</v>
      </c>
      <c r="C62" s="19" t="s">
        <v>213</v>
      </c>
      <c r="D62" s="19" t="s">
        <v>214</v>
      </c>
      <c r="E62" s="19" t="s">
        <v>215</v>
      </c>
      <c r="F62" s="19" t="s">
        <v>216</v>
      </c>
      <c r="G62" s="19" t="s">
        <v>217</v>
      </c>
      <c r="H62" s="19" t="s">
        <v>218</v>
      </c>
      <c r="I62" s="19" t="s">
        <v>219</v>
      </c>
      <c r="J62" s="19" t="s">
        <v>220</v>
      </c>
    </row>
    <row r="63" spans="1:10" x14ac:dyDescent="0.25">
      <c r="A63" s="20">
        <v>2026</v>
      </c>
      <c r="B63">
        <f t="shared" ref="B63:B109" si="3">$A63-1972</f>
        <v>54</v>
      </c>
      <c r="C63">
        <f t="shared" ref="C63:C109" si="4">$A63-1977</f>
        <v>49</v>
      </c>
      <c r="D63" s="18">
        <f>IF($A63=Inputs!$B$80,0,IF(Inputs!$B$49=1,Inputs!$B$48,IF($A63&gt;=Inputs!$B$47,Inputs!$B$46,Inputs!$B$45-(Inputs!$B$45-Inputs!$B$46)*($A63-(Inputs!$B$80+1))/(Inputs!$B$47-(Inputs!$B$80+1)))))</f>
        <v>0</v>
      </c>
      <c r="E63" s="21">
        <v>1</v>
      </c>
      <c r="F63" s="14">
        <f>IF(OR(Inputs!$B$44=0,$A63&lt;Inputs!$B$81,$A63&gt;Inputs!$B$84),0,IF(Inputs!$B$44=1,INDEX($B$15:$B$60,MATCH(B63,$A$15:$A$60,0)),INDEX($D$15:$D$60,MATCH(B63,$A$15:$A$60,0))))</f>
        <v>0</v>
      </c>
      <c r="G63" s="14">
        <f>IF(OR(Inputs!$B$44=0,$A63&lt;Inputs!$B$82),0,IF(Inputs!$B$44=1,INDEX($C$15:$C$60,MATCH(C63,$A$15:$A$60,0)),INDEX($D$15:$D$60,MATCH(C63,$A$15:$A$60,0))))</f>
        <v>0</v>
      </c>
      <c r="H63" s="14">
        <f t="shared" ref="H63:H109" si="5">(F63+G63)*E63</f>
        <v>0</v>
      </c>
      <c r="I63" s="14">
        <f>IF(OR(Inputs!$B$44=0,$A63&lt;Inputs!$B$81),0,Inputs!$B$50*(1+Inputs!$B$5)^($A63-Inputs!$B$80))</f>
        <v>0</v>
      </c>
      <c r="J63" s="14">
        <f t="shared" ref="J63:J109" si="6">MAX(H63-I63,0)</f>
        <v>0</v>
      </c>
    </row>
    <row r="64" spans="1:10" x14ac:dyDescent="0.25">
      <c r="A64" s="20">
        <v>2027</v>
      </c>
      <c r="B64">
        <f t="shared" si="3"/>
        <v>55</v>
      </c>
      <c r="C64">
        <f t="shared" si="4"/>
        <v>50</v>
      </c>
      <c r="D64" s="18">
        <f>IF($A64=Inputs!$B$80,0,IF(Inputs!$B$49=1,Inputs!$B$48,IF($A64&gt;=Inputs!$B$47,Inputs!$B$46,Inputs!$B$45-(Inputs!$B$45-Inputs!$B$46)*($A64-(Inputs!$B$80+1))/(Inputs!$B$47-(Inputs!$B$80+1)))))</f>
        <v>0.1</v>
      </c>
      <c r="E64" s="21">
        <f t="shared" ref="E64:E109" si="7">E63*(1+D64)</f>
        <v>1.1000000000000001</v>
      </c>
      <c r="F64" s="14">
        <f>IF(OR(Inputs!$B$44=0,$A64&lt;Inputs!$B$81,$A64&gt;Inputs!$B$84),0,IF(Inputs!$B$44=1,INDEX($B$15:$B$60,MATCH(B64,$A$15:$A$60,0)),INDEX($D$15:$D$60,MATCH(B64,$A$15:$A$60,0))))</f>
        <v>0</v>
      </c>
      <c r="G64" s="14">
        <f>IF(OR(Inputs!$B$44=0,$A64&lt;Inputs!$B$82),0,IF(Inputs!$B$44=1,INDEX($C$15:$C$60,MATCH(C64,$A$15:$A$60,0)),INDEX($D$15:$D$60,MATCH(C64,$A$15:$A$60,0))))</f>
        <v>0</v>
      </c>
      <c r="H64" s="14">
        <f t="shared" si="5"/>
        <v>0</v>
      </c>
      <c r="I64" s="14">
        <f>IF(OR(Inputs!$B$44=0,$A64&lt;Inputs!$B$81),0,Inputs!$B$50*(1+Inputs!$B$5)^($A64-Inputs!$B$80))</f>
        <v>0</v>
      </c>
      <c r="J64" s="14">
        <f t="shared" si="6"/>
        <v>0</v>
      </c>
    </row>
    <row r="65" spans="1:10" x14ac:dyDescent="0.25">
      <c r="A65" s="20">
        <v>2028</v>
      </c>
      <c r="B65">
        <f t="shared" si="3"/>
        <v>56</v>
      </c>
      <c r="C65">
        <f t="shared" si="4"/>
        <v>51</v>
      </c>
      <c r="D65" s="18">
        <f>IF($A65=Inputs!$B$80,0,IF(Inputs!$B$49=1,Inputs!$B$48,IF($A65&gt;=Inputs!$B$47,Inputs!$B$46,Inputs!$B$45-(Inputs!$B$45-Inputs!$B$46)*($A65-(Inputs!$B$80+1))/(Inputs!$B$47-(Inputs!$B$80+1)))))</f>
        <v>9.555555555555556E-2</v>
      </c>
      <c r="E65" s="21">
        <f t="shared" si="7"/>
        <v>1.2051111111111112</v>
      </c>
      <c r="F65" s="14">
        <f>IF(OR(Inputs!$B$44=0,$A65&lt;Inputs!$B$81,$A65&gt;Inputs!$B$84),0,IF(Inputs!$B$44=1,INDEX($B$15:$B$60,MATCH(B65,$A$15:$A$60,0)),INDEX($D$15:$D$60,MATCH(B65,$A$15:$A$60,0))))</f>
        <v>0</v>
      </c>
      <c r="G65" s="14">
        <f>IF(OR(Inputs!$B$44=0,$A65&lt;Inputs!$B$82),0,IF(Inputs!$B$44=1,INDEX($C$15:$C$60,MATCH(C65,$A$15:$A$60,0)),INDEX($D$15:$D$60,MATCH(C65,$A$15:$A$60,0))))</f>
        <v>0</v>
      </c>
      <c r="H65" s="14">
        <f t="shared" si="5"/>
        <v>0</v>
      </c>
      <c r="I65" s="14">
        <f>IF(OR(Inputs!$B$44=0,$A65&lt;Inputs!$B$81),0,Inputs!$B$50*(1+Inputs!$B$5)^($A65-Inputs!$B$80))</f>
        <v>0</v>
      </c>
      <c r="J65" s="14">
        <f t="shared" si="6"/>
        <v>0</v>
      </c>
    </row>
    <row r="66" spans="1:10" x14ac:dyDescent="0.25">
      <c r="A66" s="20">
        <v>2029</v>
      </c>
      <c r="B66">
        <f t="shared" si="3"/>
        <v>57</v>
      </c>
      <c r="C66">
        <f t="shared" si="4"/>
        <v>52</v>
      </c>
      <c r="D66" s="18">
        <f>IF($A66=Inputs!$B$80,0,IF(Inputs!$B$49=1,Inputs!$B$48,IF($A66&gt;=Inputs!$B$47,Inputs!$B$46,Inputs!$B$45-(Inputs!$B$45-Inputs!$B$46)*($A66-(Inputs!$B$80+1))/(Inputs!$B$47-(Inputs!$B$80+1)))))</f>
        <v>9.1111111111111115E-2</v>
      </c>
      <c r="E66" s="21">
        <f t="shared" si="7"/>
        <v>1.3149101234567904</v>
      </c>
      <c r="F66" s="14">
        <f>IF(OR(Inputs!$B$44=0,$A66&lt;Inputs!$B$81,$A66&gt;Inputs!$B$84),0,IF(Inputs!$B$44=1,INDEX($B$15:$B$60,MATCH(B66,$A$15:$A$60,0)),INDEX($D$15:$D$60,MATCH(B66,$A$15:$A$60,0))))</f>
        <v>0</v>
      </c>
      <c r="G66" s="14">
        <f>IF(OR(Inputs!$B$44=0,$A66&lt;Inputs!$B$82),0,IF(Inputs!$B$44=1,INDEX($C$15:$C$60,MATCH(C66,$A$15:$A$60,0)),INDEX($D$15:$D$60,MATCH(C66,$A$15:$A$60,0))))</f>
        <v>0</v>
      </c>
      <c r="H66" s="14">
        <f t="shared" si="5"/>
        <v>0</v>
      </c>
      <c r="I66" s="14">
        <f>IF(OR(Inputs!$B$44=0,$A66&lt;Inputs!$B$81),0,Inputs!$B$50*(1+Inputs!$B$5)^($A66-Inputs!$B$80))</f>
        <v>0</v>
      </c>
      <c r="J66" s="14">
        <f t="shared" si="6"/>
        <v>0</v>
      </c>
    </row>
    <row r="67" spans="1:10" x14ac:dyDescent="0.25">
      <c r="A67" s="20">
        <v>2030</v>
      </c>
      <c r="B67">
        <f t="shared" si="3"/>
        <v>58</v>
      </c>
      <c r="C67">
        <f t="shared" si="4"/>
        <v>53</v>
      </c>
      <c r="D67" s="18">
        <f>IF($A67=Inputs!$B$80,0,IF(Inputs!$B$49=1,Inputs!$B$48,IF($A67&gt;=Inputs!$B$47,Inputs!$B$46,Inputs!$B$45-(Inputs!$B$45-Inputs!$B$46)*($A67-(Inputs!$B$80+1))/(Inputs!$B$47-(Inputs!$B$80+1)))))</f>
        <v>8.666666666666667E-2</v>
      </c>
      <c r="E67" s="21">
        <f t="shared" si="7"/>
        <v>1.4288690008230456</v>
      </c>
      <c r="F67" s="14">
        <f>IF(OR(Inputs!$B$44=0,$A67&lt;Inputs!$B$81,$A67&gt;Inputs!$B$84),0,IF(Inputs!$B$44=1,INDEX($B$15:$B$60,MATCH(B67,$A$15:$A$60,0)),INDEX($D$15:$D$60,MATCH(B67,$A$15:$A$60,0))))</f>
        <v>0</v>
      </c>
      <c r="G67" s="14">
        <f>IF(OR(Inputs!$B$44=0,$A67&lt;Inputs!$B$82),0,IF(Inputs!$B$44=1,INDEX($C$15:$C$60,MATCH(C67,$A$15:$A$60,0)),INDEX($D$15:$D$60,MATCH(C67,$A$15:$A$60,0))))</f>
        <v>0</v>
      </c>
      <c r="H67" s="14">
        <f t="shared" si="5"/>
        <v>0</v>
      </c>
      <c r="I67" s="14">
        <f>IF(OR(Inputs!$B$44=0,$A67&lt;Inputs!$B$81),0,Inputs!$B$50*(1+Inputs!$B$5)^($A67-Inputs!$B$80))</f>
        <v>0</v>
      </c>
      <c r="J67" s="14">
        <f t="shared" si="6"/>
        <v>0</v>
      </c>
    </row>
    <row r="68" spans="1:10" x14ac:dyDescent="0.25">
      <c r="A68" s="20">
        <v>2031</v>
      </c>
      <c r="B68">
        <f t="shared" si="3"/>
        <v>59</v>
      </c>
      <c r="C68">
        <f t="shared" si="4"/>
        <v>54</v>
      </c>
      <c r="D68" s="18">
        <f>IF($A68=Inputs!$B$80,0,IF(Inputs!$B$49=1,Inputs!$B$48,IF($A68&gt;=Inputs!$B$47,Inputs!$B$46,Inputs!$B$45-(Inputs!$B$45-Inputs!$B$46)*($A68-(Inputs!$B$80+1))/(Inputs!$B$47-(Inputs!$B$80+1)))))</f>
        <v>8.2222222222222224E-2</v>
      </c>
      <c r="E68" s="21">
        <f t="shared" si="7"/>
        <v>1.5463537853351625</v>
      </c>
      <c r="F68" s="14">
        <f>IF(OR(Inputs!$B$44=0,$A68&lt;Inputs!$B$81,$A68&gt;Inputs!$B$84),0,IF(Inputs!$B$44=1,INDEX($B$15:$B$60,MATCH(B68,$A$15:$A$60,0)),INDEX($D$15:$D$60,MATCH(B68,$A$15:$A$60,0))))</f>
        <v>0</v>
      </c>
      <c r="G68" s="14">
        <f>IF(OR(Inputs!$B$44=0,$A68&lt;Inputs!$B$82),0,IF(Inputs!$B$44=1,INDEX($C$15:$C$60,MATCH(C68,$A$15:$A$60,0)),INDEX($D$15:$D$60,MATCH(C68,$A$15:$A$60,0))))</f>
        <v>0</v>
      </c>
      <c r="H68" s="14">
        <f t="shared" si="5"/>
        <v>0</v>
      </c>
      <c r="I68" s="14">
        <f>IF(OR(Inputs!$B$44=0,$A68&lt;Inputs!$B$81),0,Inputs!$B$50*(1+Inputs!$B$5)^($A68-Inputs!$B$80))</f>
        <v>0</v>
      </c>
      <c r="J68" s="14">
        <f t="shared" si="6"/>
        <v>0</v>
      </c>
    </row>
    <row r="69" spans="1:10" x14ac:dyDescent="0.25">
      <c r="A69" s="20">
        <v>2032</v>
      </c>
      <c r="B69">
        <f t="shared" si="3"/>
        <v>60</v>
      </c>
      <c r="C69">
        <f t="shared" si="4"/>
        <v>55</v>
      </c>
      <c r="D69" s="18">
        <f>IF($A69=Inputs!$B$80,0,IF(Inputs!$B$49=1,Inputs!$B$48,IF($A69&gt;=Inputs!$B$47,Inputs!$B$46,Inputs!$B$45-(Inputs!$B$45-Inputs!$B$46)*($A69-(Inputs!$B$80+1))/(Inputs!$B$47-(Inputs!$B$80+1)))))</f>
        <v>7.7777777777777779E-2</v>
      </c>
      <c r="E69" s="21">
        <f t="shared" si="7"/>
        <v>1.6666257464167862</v>
      </c>
      <c r="F69" s="14">
        <f>IF(OR(Inputs!$B$44=0,$A69&lt;Inputs!$B$81,$A69&gt;Inputs!$B$84),0,IF(Inputs!$B$44=1,INDEX($B$15:$B$60,MATCH(B69,$A$15:$A$60,0)),INDEX($D$15:$D$60,MATCH(B69,$A$15:$A$60,0))))</f>
        <v>0</v>
      </c>
      <c r="G69" s="14">
        <f>IF(OR(Inputs!$B$44=0,$A69&lt;Inputs!$B$82),0,IF(Inputs!$B$44=1,INDEX($C$15:$C$60,MATCH(C69,$A$15:$A$60,0)),INDEX($D$15:$D$60,MATCH(C69,$A$15:$A$60,0))))</f>
        <v>0</v>
      </c>
      <c r="H69" s="14">
        <f t="shared" si="5"/>
        <v>0</v>
      </c>
      <c r="I69" s="14">
        <f>IF(OR(Inputs!$B$44=0,$A69&lt;Inputs!$B$81),0,Inputs!$B$50*(1+Inputs!$B$5)^($A69-Inputs!$B$80))</f>
        <v>0</v>
      </c>
      <c r="J69" s="14">
        <f t="shared" si="6"/>
        <v>0</v>
      </c>
    </row>
    <row r="70" spans="1:10" x14ac:dyDescent="0.25">
      <c r="A70" s="20">
        <v>2033</v>
      </c>
      <c r="B70">
        <f t="shared" si="3"/>
        <v>61</v>
      </c>
      <c r="C70">
        <f t="shared" si="4"/>
        <v>56</v>
      </c>
      <c r="D70" s="18">
        <f>IF($A70=Inputs!$B$80,0,IF(Inputs!$B$49=1,Inputs!$B$48,IF($A70&gt;=Inputs!$B$47,Inputs!$B$46,Inputs!$B$45-(Inputs!$B$45-Inputs!$B$46)*($A70-(Inputs!$B$80+1))/(Inputs!$B$47-(Inputs!$B$80+1)))))</f>
        <v>7.3333333333333334E-2</v>
      </c>
      <c r="E70" s="21">
        <f t="shared" si="7"/>
        <v>1.7888449678206837</v>
      </c>
      <c r="F70" s="14">
        <f>IF(OR(Inputs!$B$44=0,$A70&lt;Inputs!$B$81,$A70&gt;Inputs!$B$84),0,IF(Inputs!$B$44=1,INDEX($B$15:$B$60,MATCH(B70,$A$15:$A$60,0)),INDEX($D$15:$D$60,MATCH(B70,$A$15:$A$60,0))))</f>
        <v>0</v>
      </c>
      <c r="G70" s="14">
        <f>IF(OR(Inputs!$B$44=0,$A70&lt;Inputs!$B$82),0,IF(Inputs!$B$44=1,INDEX($C$15:$C$60,MATCH(C70,$A$15:$A$60,0)),INDEX($D$15:$D$60,MATCH(C70,$A$15:$A$60,0))))</f>
        <v>0</v>
      </c>
      <c r="H70" s="14">
        <f t="shared" si="5"/>
        <v>0</v>
      </c>
      <c r="I70" s="14">
        <f>IF(OR(Inputs!$B$44=0,$A70&lt;Inputs!$B$81),0,Inputs!$B$50*(1+Inputs!$B$5)^($A70-Inputs!$B$80))</f>
        <v>0</v>
      </c>
      <c r="J70" s="14">
        <f t="shared" si="6"/>
        <v>0</v>
      </c>
    </row>
    <row r="71" spans="1:10" x14ac:dyDescent="0.25">
      <c r="A71" s="20">
        <v>2034</v>
      </c>
      <c r="B71">
        <f t="shared" si="3"/>
        <v>62</v>
      </c>
      <c r="C71">
        <f t="shared" si="4"/>
        <v>57</v>
      </c>
      <c r="D71" s="18">
        <f>IF($A71=Inputs!$B$80,0,IF(Inputs!$B$49=1,Inputs!$B$48,IF($A71&gt;=Inputs!$B$47,Inputs!$B$46,Inputs!$B$45-(Inputs!$B$45-Inputs!$B$46)*($A71-(Inputs!$B$80+1))/(Inputs!$B$47-(Inputs!$B$80+1)))))</f>
        <v>6.8888888888888888E-2</v>
      </c>
      <c r="E71" s="21">
        <f t="shared" si="7"/>
        <v>1.912076510048331</v>
      </c>
      <c r="F71" s="14">
        <f>IF(OR(Inputs!$B$44=0,$A71&lt;Inputs!$B$81,$A71&gt;Inputs!$B$84),0,IF(Inputs!$B$44=1,INDEX($B$15:$B$60,MATCH(B71,$A$15:$A$60,0)),INDEX($D$15:$D$60,MATCH(B71,$A$15:$A$60,0))))</f>
        <v>0</v>
      </c>
      <c r="G71" s="14">
        <f>IF(OR(Inputs!$B$44=0,$A71&lt;Inputs!$B$82),0,IF(Inputs!$B$44=1,INDEX($C$15:$C$60,MATCH(C71,$A$15:$A$60,0)),INDEX($D$15:$D$60,MATCH(C71,$A$15:$A$60,0))))</f>
        <v>0</v>
      </c>
      <c r="H71" s="14">
        <f t="shared" si="5"/>
        <v>0</v>
      </c>
      <c r="I71" s="14">
        <f>IF(OR(Inputs!$B$44=0,$A71&lt;Inputs!$B$81),0,Inputs!$B$50*(1+Inputs!$B$5)^($A71-Inputs!$B$80))</f>
        <v>0</v>
      </c>
      <c r="J71" s="14">
        <f t="shared" si="6"/>
        <v>0</v>
      </c>
    </row>
    <row r="72" spans="1:10" x14ac:dyDescent="0.25">
      <c r="A72" s="20">
        <v>2035</v>
      </c>
      <c r="B72">
        <f t="shared" si="3"/>
        <v>63</v>
      </c>
      <c r="C72">
        <f t="shared" si="4"/>
        <v>58</v>
      </c>
      <c r="D72" s="18">
        <f>IF($A72=Inputs!$B$80,0,IF(Inputs!$B$49=1,Inputs!$B$48,IF($A72&gt;=Inputs!$B$47,Inputs!$B$46,Inputs!$B$45-(Inputs!$B$45-Inputs!$B$46)*($A72-(Inputs!$B$80+1))/(Inputs!$B$47-(Inputs!$B$80+1)))))</f>
        <v>6.4444444444444443E-2</v>
      </c>
      <c r="E72" s="21">
        <f t="shared" si="7"/>
        <v>2.0352992184736682</v>
      </c>
      <c r="F72" s="14">
        <f>IF(OR(Inputs!$B$44=0,$A72&lt;Inputs!$B$81,$A72&gt;Inputs!$B$84),0,IF(Inputs!$B$44=1,INDEX($B$15:$B$60,MATCH(B72,$A$15:$A$60,0)),INDEX($D$15:$D$60,MATCH(B72,$A$15:$A$60,0))))</f>
        <v>0</v>
      </c>
      <c r="G72" s="14">
        <f>IF(OR(Inputs!$B$44=0,$A72&lt;Inputs!$B$82),0,IF(Inputs!$B$44=1,INDEX($C$15:$C$60,MATCH(C72,$A$15:$A$60,0)),INDEX($D$15:$D$60,MATCH(C72,$A$15:$A$60,0))))</f>
        <v>0</v>
      </c>
      <c r="H72" s="14">
        <f t="shared" si="5"/>
        <v>0</v>
      </c>
      <c r="I72" s="14">
        <f>IF(OR(Inputs!$B$44=0,$A72&lt;Inputs!$B$81),0,Inputs!$B$50*(1+Inputs!$B$5)^($A72-Inputs!$B$80))</f>
        <v>0</v>
      </c>
      <c r="J72" s="14">
        <f t="shared" si="6"/>
        <v>0</v>
      </c>
    </row>
    <row r="73" spans="1:10" x14ac:dyDescent="0.25">
      <c r="A73" s="20">
        <v>2036</v>
      </c>
      <c r="B73">
        <f t="shared" si="3"/>
        <v>64</v>
      </c>
      <c r="C73">
        <f t="shared" si="4"/>
        <v>59</v>
      </c>
      <c r="D73" s="18">
        <f>IF($A73=Inputs!$B$80,0,IF(Inputs!$B$49=1,Inputs!$B$48,IF($A73&gt;=Inputs!$B$47,Inputs!$B$46,Inputs!$B$45-(Inputs!$B$45-Inputs!$B$46)*($A73-(Inputs!$B$80+1))/(Inputs!$B$47-(Inputs!$B$80+1)))))</f>
        <v>0.06</v>
      </c>
      <c r="E73" s="21">
        <f t="shared" si="7"/>
        <v>2.1574171715820882</v>
      </c>
      <c r="F73" s="14">
        <f>IF(OR(Inputs!$B$44=0,$A73&lt;Inputs!$B$81,$A73&gt;Inputs!$B$84),0,IF(Inputs!$B$44=1,INDEX($B$15:$B$60,MATCH(B73,$A$15:$A$60,0)),INDEX($D$15:$D$60,MATCH(B73,$A$15:$A$60,0))))</f>
        <v>0</v>
      </c>
      <c r="G73" s="14">
        <f>IF(OR(Inputs!$B$44=0,$A73&lt;Inputs!$B$82),0,IF(Inputs!$B$44=1,INDEX($C$15:$C$60,MATCH(C73,$A$15:$A$60,0)),INDEX($D$15:$D$60,MATCH(C73,$A$15:$A$60,0))))</f>
        <v>0</v>
      </c>
      <c r="H73" s="14">
        <f t="shared" si="5"/>
        <v>0</v>
      </c>
      <c r="I73" s="14">
        <f>IF(OR(Inputs!$B$44=0,$A73&lt;Inputs!$B$81),0,Inputs!$B$50*(1+Inputs!$B$5)^($A73-Inputs!$B$80))</f>
        <v>0</v>
      </c>
      <c r="J73" s="14">
        <f t="shared" si="6"/>
        <v>0</v>
      </c>
    </row>
    <row r="74" spans="1:10" x14ac:dyDescent="0.25">
      <c r="A74" s="20">
        <v>2037</v>
      </c>
      <c r="B74">
        <f t="shared" si="3"/>
        <v>65</v>
      </c>
      <c r="C74">
        <f t="shared" si="4"/>
        <v>60</v>
      </c>
      <c r="D74" s="18">
        <f>IF($A74=Inputs!$B$80,0,IF(Inputs!$B$49=1,Inputs!$B$48,IF($A74&gt;=Inputs!$B$47,Inputs!$B$46,Inputs!$B$45-(Inputs!$B$45-Inputs!$B$46)*($A74-(Inputs!$B$80+1))/(Inputs!$B$47-(Inputs!$B$80+1)))))</f>
        <v>0.06</v>
      </c>
      <c r="E74" s="21">
        <f t="shared" si="7"/>
        <v>2.2868622018770135</v>
      </c>
      <c r="F74" s="14">
        <f>IF(OR(Inputs!$B$44=0,$A74&lt;Inputs!$B$81,$A74&gt;Inputs!$B$84),0,IF(Inputs!$B$44=1,INDEX($B$15:$B$60,MATCH(B74,$A$15:$A$60,0)),INDEX($D$15:$D$60,MATCH(B74,$A$15:$A$60,0))))</f>
        <v>32542</v>
      </c>
      <c r="G74" s="14">
        <f>IF(OR(Inputs!$B$44=0,$A74&lt;Inputs!$B$82),0,IF(Inputs!$B$44=1,INDEX($C$15:$C$60,MATCH(C74,$A$15:$A$60,0)),INDEX($D$15:$D$60,MATCH(C74,$A$15:$A$60,0))))</f>
        <v>0</v>
      </c>
      <c r="H74" s="14">
        <f t="shared" si="5"/>
        <v>74419.06977348178</v>
      </c>
      <c r="I74" s="14">
        <f>IF(OR(Inputs!$B$44=0,$A74&lt;Inputs!$B$81),0,Inputs!$B$50*(1+Inputs!$B$5)^($A74-Inputs!$B$80))</f>
        <v>85285.63275708229</v>
      </c>
      <c r="J74" s="14">
        <f t="shared" si="6"/>
        <v>0</v>
      </c>
    </row>
    <row r="75" spans="1:10" x14ac:dyDescent="0.25">
      <c r="A75" s="20">
        <v>2038</v>
      </c>
      <c r="B75">
        <f t="shared" si="3"/>
        <v>66</v>
      </c>
      <c r="C75">
        <f t="shared" si="4"/>
        <v>61</v>
      </c>
      <c r="D75" s="18">
        <f>IF($A75=Inputs!$B$80,0,IF(Inputs!$B$49=1,Inputs!$B$48,IF($A75&gt;=Inputs!$B$47,Inputs!$B$46,Inputs!$B$45-(Inputs!$B$45-Inputs!$B$46)*($A75-(Inputs!$B$80+1))/(Inputs!$B$47-(Inputs!$B$80+1)))))</f>
        <v>0.06</v>
      </c>
      <c r="E75" s="21">
        <f t="shared" si="7"/>
        <v>2.4240739339896344</v>
      </c>
      <c r="F75" s="14">
        <f>IF(OR(Inputs!$B$44=0,$A75&lt;Inputs!$B$81,$A75&gt;Inputs!$B$84),0,IF(Inputs!$B$44=1,INDEX($B$15:$B$60,MATCH(B75,$A$15:$A$60,0)),INDEX($D$15:$D$60,MATCH(B75,$A$15:$A$60,0))))</f>
        <v>34265.509148780548</v>
      </c>
      <c r="G75" s="14">
        <f>IF(OR(Inputs!$B$44=0,$A75&lt;Inputs!$B$82),0,IF(Inputs!$B$44=1,INDEX($C$15:$C$60,MATCH(C75,$A$15:$A$60,0)),INDEX($D$15:$D$60,MATCH(C75,$A$15:$A$60,0))))</f>
        <v>0</v>
      </c>
      <c r="H75" s="14">
        <f t="shared" si="5"/>
        <v>83062.127562442271</v>
      </c>
      <c r="I75" s="14">
        <f>IF(OR(Inputs!$B$44=0,$A75&lt;Inputs!$B$81),0,Inputs!$B$50*(1+Inputs!$B$5)^($A75-Inputs!$B$80))</f>
        <v>87417.773576009335</v>
      </c>
      <c r="J75" s="14">
        <f t="shared" si="6"/>
        <v>0</v>
      </c>
    </row>
    <row r="76" spans="1:10" x14ac:dyDescent="0.25">
      <c r="A76" s="20">
        <v>2039</v>
      </c>
      <c r="B76">
        <f t="shared" si="3"/>
        <v>67</v>
      </c>
      <c r="C76">
        <f t="shared" si="4"/>
        <v>62</v>
      </c>
      <c r="D76" s="18">
        <f>IF($A76=Inputs!$B$80,0,IF(Inputs!$B$49=1,Inputs!$B$48,IF($A76&gt;=Inputs!$B$47,Inputs!$B$46,Inputs!$B$45-(Inputs!$B$45-Inputs!$B$46)*($A76-(Inputs!$B$80+1))/(Inputs!$B$47-(Inputs!$B$80+1)))))</f>
        <v>0.06</v>
      </c>
      <c r="E76" s="21">
        <f t="shared" si="7"/>
        <v>2.5695183700290127</v>
      </c>
      <c r="F76" s="14">
        <f>IF(OR(Inputs!$B$44=0,$A76&lt;Inputs!$B$81,$A76&gt;Inputs!$B$84),0,IF(Inputs!$B$44=1,INDEX($B$15:$B$60,MATCH(B76,$A$15:$A$60,0)),INDEX($D$15:$D$60,MATCH(B76,$A$15:$A$60,0))))</f>
        <v>36080.299834833859</v>
      </c>
      <c r="G76" s="14">
        <f>IF(OR(Inputs!$B$44=0,$A76&lt;Inputs!$B$82),0,IF(Inputs!$B$44=1,INDEX($C$15:$C$60,MATCH(C76,$A$15:$A$60,0)),INDEX($D$15:$D$60,MATCH(C76,$A$15:$A$60,0))))</f>
        <v>25895</v>
      </c>
      <c r="H76" s="14">
        <f t="shared" si="5"/>
        <v>159246.67141366165</v>
      </c>
      <c r="I76" s="14">
        <f>IF(OR(Inputs!$B$44=0,$A76&lt;Inputs!$B$81),0,Inputs!$B$50*(1+Inputs!$B$5)^($A76-Inputs!$B$80))</f>
        <v>89603.217915409565</v>
      </c>
      <c r="J76" s="14">
        <f t="shared" si="6"/>
        <v>69643.453498252085</v>
      </c>
    </row>
    <row r="77" spans="1:10" x14ac:dyDescent="0.25">
      <c r="A77" s="20">
        <v>2040</v>
      </c>
      <c r="B77">
        <f t="shared" si="3"/>
        <v>68</v>
      </c>
      <c r="C77">
        <f t="shared" si="4"/>
        <v>63</v>
      </c>
      <c r="D77" s="18">
        <f>IF($A77=Inputs!$B$80,0,IF(Inputs!$B$49=1,Inputs!$B$48,IF($A77&gt;=Inputs!$B$47,Inputs!$B$46,Inputs!$B$45-(Inputs!$B$45-Inputs!$B$46)*($A77-(Inputs!$B$80+1))/(Inputs!$B$47-(Inputs!$B$80+1)))))</f>
        <v>0.06</v>
      </c>
      <c r="E77" s="21">
        <f t="shared" si="7"/>
        <v>2.7236894722307534</v>
      </c>
      <c r="F77" s="14">
        <f>IF(OR(Inputs!$B$44=0,$A77&lt;Inputs!$B$81,$A77&gt;Inputs!$B$84),0,IF(Inputs!$B$44=1,INDEX($B$15:$B$60,MATCH(B77,$A$15:$A$60,0)),INDEX($D$15:$D$60,MATCH(B77,$A$15:$A$60,0))))</f>
        <v>37991.206566321816</v>
      </c>
      <c r="G77" s="14">
        <f>IF(OR(Inputs!$B$44=0,$A77&lt;Inputs!$B$82),0,IF(Inputs!$B$44=1,INDEX($C$15:$C$60,MATCH(C77,$A$15:$A$60,0)),INDEX($D$15:$D$60,MATCH(C77,$A$15:$A$60,0))))</f>
        <v>27671.650037838353</v>
      </c>
      <c r="H77" s="14">
        <f t="shared" si="5"/>
        <v>178845.23124934867</v>
      </c>
      <c r="I77" s="14">
        <f>IF(OR(Inputs!$B$44=0,$A77&lt;Inputs!$B$81),0,Inputs!$B$50*(1+Inputs!$B$5)^($A77-Inputs!$B$80))</f>
        <v>91843.298363294802</v>
      </c>
      <c r="J77" s="14">
        <f t="shared" si="6"/>
        <v>87001.932886053866</v>
      </c>
    </row>
    <row r="78" spans="1:10" x14ac:dyDescent="0.25">
      <c r="A78" s="20">
        <v>2041</v>
      </c>
      <c r="B78">
        <f t="shared" si="3"/>
        <v>69</v>
      </c>
      <c r="C78">
        <f t="shared" si="4"/>
        <v>64</v>
      </c>
      <c r="D78" s="18">
        <f>IF($A78=Inputs!$B$80,0,IF(Inputs!$B$49=1,Inputs!$B$48,IF($A78&gt;=Inputs!$B$47,Inputs!$B$46,Inputs!$B$45-(Inputs!$B$45-Inputs!$B$46)*($A78-(Inputs!$B$80+1))/(Inputs!$B$47-(Inputs!$B$80+1)))))</f>
        <v>0.06</v>
      </c>
      <c r="E78" s="21">
        <f t="shared" si="7"/>
        <v>2.8871108405645987</v>
      </c>
      <c r="F78" s="14">
        <f>IF(OR(Inputs!$B$44=0,$A78&lt;Inputs!$B$81,$A78&gt;Inputs!$B$84),0,IF(Inputs!$B$44=1,INDEX($B$15:$B$60,MATCH(B78,$A$15:$A$60,0)),INDEX($D$15:$D$60,MATCH(B78,$A$15:$A$60,0))))</f>
        <v>40003.319899560935</v>
      </c>
      <c r="G78" s="14">
        <f>IF(OR(Inputs!$B$44=0,$A78&lt;Inputs!$B$82),0,IF(Inputs!$B$44=1,INDEX($C$15:$C$60,MATCH(C78,$A$15:$A$60,0)),INDEX($D$15:$D$60,MATCH(C78,$A$15:$A$60,0))))</f>
        <v>29570.19562914074</v>
      </c>
      <c r="H78" s="14">
        <f t="shared" si="5"/>
        <v>200866.45089910406</v>
      </c>
      <c r="I78" s="14">
        <f>IF(OR(Inputs!$B$44=0,$A78&lt;Inputs!$B$81),0,Inputs!$B$50*(1+Inputs!$B$5)^($A78-Inputs!$B$80))</f>
        <v>94139.380822377178</v>
      </c>
      <c r="J78" s="14">
        <f t="shared" si="6"/>
        <v>106727.07007672689</v>
      </c>
    </row>
    <row r="79" spans="1:10" x14ac:dyDescent="0.25">
      <c r="A79" s="20">
        <v>2042</v>
      </c>
      <c r="B79">
        <f t="shared" si="3"/>
        <v>70</v>
      </c>
      <c r="C79">
        <f t="shared" si="4"/>
        <v>65</v>
      </c>
      <c r="D79" s="18">
        <f>IF($A79=Inputs!$B$80,0,IF(Inputs!$B$49=1,Inputs!$B$48,IF($A79&gt;=Inputs!$B$47,Inputs!$B$46,Inputs!$B$45-(Inputs!$B$45-Inputs!$B$46)*($A79-(Inputs!$B$80+1))/(Inputs!$B$47-(Inputs!$B$80+1)))))</f>
        <v>0.06</v>
      </c>
      <c r="E79" s="21">
        <f t="shared" si="7"/>
        <v>3.0603374909984749</v>
      </c>
      <c r="F79" s="14">
        <f>IF(OR(Inputs!$B$44=0,$A79&lt;Inputs!$B$81,$A79&gt;Inputs!$B$84),0,IF(Inputs!$B$44=1,INDEX($B$15:$B$60,MATCH(B79,$A$15:$A$60,0)),INDEX($D$15:$D$60,MATCH(B79,$A$15:$A$60,0))))</f>
        <v>42122</v>
      </c>
      <c r="G79" s="14">
        <f>IF(OR(Inputs!$B$44=0,$A79&lt;Inputs!$B$82),0,IF(Inputs!$B$44=1,INDEX($C$15:$C$60,MATCH(C79,$A$15:$A$60,0)),INDEX($D$15:$D$60,MATCH(C79,$A$15:$A$60,0))))</f>
        <v>31599</v>
      </c>
      <c r="H79" s="14">
        <f t="shared" si="5"/>
        <v>225611.14017389857</v>
      </c>
      <c r="I79" s="14">
        <f>IF(OR(Inputs!$B$44=0,$A79&lt;Inputs!$B$81),0,Inputs!$B$50*(1+Inputs!$B$5)^($A79-Inputs!$B$80))</f>
        <v>96492.86534293661</v>
      </c>
      <c r="J79" s="14">
        <f t="shared" si="6"/>
        <v>129118.27483096196</v>
      </c>
    </row>
    <row r="80" spans="1:10" x14ac:dyDescent="0.25">
      <c r="A80" s="20">
        <v>2043</v>
      </c>
      <c r="B80">
        <f t="shared" si="3"/>
        <v>71</v>
      </c>
      <c r="C80">
        <f t="shared" si="4"/>
        <v>66</v>
      </c>
      <c r="D80" s="18">
        <f>IF($A80=Inputs!$B$80,0,IF(Inputs!$B$49=1,Inputs!$B$48,IF($A80&gt;=Inputs!$B$47,Inputs!$B$46,Inputs!$B$45-(Inputs!$B$45-Inputs!$B$46)*($A80-(Inputs!$B$80+1))/(Inputs!$B$47-(Inputs!$B$80+1)))))</f>
        <v>0.06</v>
      </c>
      <c r="E80" s="21">
        <f t="shared" si="7"/>
        <v>3.2439577404583835</v>
      </c>
      <c r="F80" s="14">
        <f>IF(OR(Inputs!$B$44=0,$A80&lt;Inputs!$B$81,$A80&gt;Inputs!$B$84),0,IF(Inputs!$B$44=1,INDEX($B$15:$B$60,MATCH(B80,$A$15:$A$60,0)),INDEX($D$15:$D$60,MATCH(B80,$A$15:$A$60,0))))</f>
        <v>44249.053788011741</v>
      </c>
      <c r="G80" s="14">
        <f>IF(OR(Inputs!$B$44=0,$A80&lt;Inputs!$B$82),0,IF(Inputs!$B$44=1,INDEX($C$15:$C$60,MATCH(C80,$A$15:$A$60,0)),INDEX($D$15:$D$60,MATCH(C80,$A$15:$A$60,0))))</f>
        <v>33286.969247733367</v>
      </c>
      <c r="H80" s="14">
        <f t="shared" si="5"/>
        <v>251523.58209116486</v>
      </c>
      <c r="I80" s="14">
        <f>IF(OR(Inputs!$B$44=0,$A80&lt;Inputs!$B$81),0,Inputs!$B$50*(1+Inputs!$B$5)^($A80-Inputs!$B$80))</f>
        <v>98905.186976509998</v>
      </c>
      <c r="J80" s="14">
        <f t="shared" si="6"/>
        <v>152618.39511465485</v>
      </c>
    </row>
    <row r="81" spans="1:10" x14ac:dyDescent="0.25">
      <c r="A81" s="20">
        <v>2044</v>
      </c>
      <c r="B81">
        <f t="shared" si="3"/>
        <v>72</v>
      </c>
      <c r="C81">
        <f t="shared" si="4"/>
        <v>67</v>
      </c>
      <c r="D81" s="18">
        <f>IF($A81=Inputs!$B$80,0,IF(Inputs!$B$49=1,Inputs!$B$48,IF($A81&gt;=Inputs!$B$47,Inputs!$B$46,Inputs!$B$45-(Inputs!$B$45-Inputs!$B$46)*($A81-(Inputs!$B$80+1))/(Inputs!$B$47-(Inputs!$B$80+1)))))</f>
        <v>0.06</v>
      </c>
      <c r="E81" s="21">
        <f t="shared" si="7"/>
        <v>3.4385952048858868</v>
      </c>
      <c r="F81" s="14">
        <f>IF(OR(Inputs!$B$44=0,$A81&lt;Inputs!$B$81,$A81&gt;Inputs!$B$84),0,IF(Inputs!$B$44=1,INDEX($B$15:$B$60,MATCH(B81,$A$15:$A$60,0)),INDEX($D$15:$D$60,MATCH(B81,$A$15:$A$60,0))))</f>
        <v>46483.518378385568</v>
      </c>
      <c r="G81" s="14">
        <f>IF(OR(Inputs!$B$44=0,$A81&lt;Inputs!$B$82),0,IF(Inputs!$B$44=1,INDEX($C$15:$C$60,MATCH(C81,$A$15:$A$60,0)),INDEX($D$15:$D$60,MATCH(C81,$A$15:$A$60,0))))</f>
        <v>35065.107177427992</v>
      </c>
      <c r="H81" s="14">
        <f t="shared" si="5"/>
        <v>280412.71280125517</v>
      </c>
      <c r="I81" s="14">
        <f>IF(OR(Inputs!$B$44=0,$A81&lt;Inputs!$B$81),0,Inputs!$B$50*(1+Inputs!$B$5)^($A81-Inputs!$B$80))</f>
        <v>101377.81665092276</v>
      </c>
      <c r="J81" s="14">
        <f t="shared" si="6"/>
        <v>179034.89615033241</v>
      </c>
    </row>
    <row r="82" spans="1:10" x14ac:dyDescent="0.25">
      <c r="A82" s="20">
        <v>2045</v>
      </c>
      <c r="B82">
        <f t="shared" si="3"/>
        <v>73</v>
      </c>
      <c r="C82">
        <f t="shared" si="4"/>
        <v>68</v>
      </c>
      <c r="D82" s="18">
        <f>IF($A82=Inputs!$B$80,0,IF(Inputs!$B$49=1,Inputs!$B$48,IF($A82&gt;=Inputs!$B$47,Inputs!$B$46,Inputs!$B$45-(Inputs!$B$45-Inputs!$B$46)*($A82-(Inputs!$B$80+1))/(Inputs!$B$47-(Inputs!$B$80+1)))))</f>
        <v>0.06</v>
      </c>
      <c r="E82" s="21">
        <f t="shared" si="7"/>
        <v>3.6449109171790401</v>
      </c>
      <c r="F82" s="14">
        <f>IF(OR(Inputs!$B$44=0,$A82&lt;Inputs!$B$81,$A82&gt;Inputs!$B$84),0,IF(Inputs!$B$44=1,INDEX($B$15:$B$60,MATCH(B82,$A$15:$A$60,0)),INDEX($D$15:$D$60,MATCH(B82,$A$15:$A$60,0))))</f>
        <v>48830.817743250918</v>
      </c>
      <c r="G82" s="14">
        <f>IF(OR(Inputs!$B$44=0,$A82&lt;Inputs!$B$82),0,IF(Inputs!$B$44=1,INDEX($C$15:$C$60,MATCH(C82,$A$15:$A$60,0)),INDEX($D$15:$D$60,MATCH(C82,$A$15:$A$60,0))))</f>
        <v>36938.230459303144</v>
      </c>
      <c r="H82" s="14">
        <f t="shared" si="5"/>
        <v>312620.5401495446</v>
      </c>
      <c r="I82" s="14">
        <f>IF(OR(Inputs!$B$44=0,$A82&lt;Inputs!$B$81),0,Inputs!$B$50*(1+Inputs!$B$5)^($A82-Inputs!$B$80))</f>
        <v>103912.26206719583</v>
      </c>
      <c r="J82" s="14">
        <f t="shared" si="6"/>
        <v>208708.27808234876</v>
      </c>
    </row>
    <row r="83" spans="1:10" x14ac:dyDescent="0.25">
      <c r="A83" s="20">
        <v>2046</v>
      </c>
      <c r="B83">
        <f t="shared" si="3"/>
        <v>74</v>
      </c>
      <c r="C83">
        <f t="shared" si="4"/>
        <v>69</v>
      </c>
      <c r="D83" s="18">
        <f>IF($A83=Inputs!$B$80,0,IF(Inputs!$B$49=1,Inputs!$B$48,IF($A83&gt;=Inputs!$B$47,Inputs!$B$46,Inputs!$B$45-(Inputs!$B$45-Inputs!$B$46)*($A83-(Inputs!$B$80+1))/(Inputs!$B$47-(Inputs!$B$80+1)))))</f>
        <v>0.06</v>
      </c>
      <c r="E83" s="21">
        <f t="shared" si="7"/>
        <v>3.8636055722097828</v>
      </c>
      <c r="F83" s="14">
        <f>IF(OR(Inputs!$B$44=0,$A83&lt;Inputs!$B$81,$A83&gt;Inputs!$B$84),0,IF(Inputs!$B$44=1,INDEX($B$15:$B$60,MATCH(B83,$A$15:$A$60,0)),INDEX($D$15:$D$60,MATCH(B83,$A$15:$A$60,0))))</f>
        <v>51296.649751524339</v>
      </c>
      <c r="G83" s="14">
        <f>IF(OR(Inputs!$B$44=0,$A83&lt;Inputs!$B$82),0,IF(Inputs!$B$44=1,INDEX($C$15:$C$60,MATCH(C83,$A$15:$A$60,0)),INDEX($D$15:$D$60,MATCH(C83,$A$15:$A$60,0))))</f>
        <v>38911.413062581472</v>
      </c>
      <c r="H83" s="14">
        <f t="shared" si="5"/>
        <v>348528.3741468293</v>
      </c>
      <c r="I83" s="14">
        <f>IF(OR(Inputs!$B$44=0,$A83&lt;Inputs!$B$81),0,Inputs!$B$50*(1+Inputs!$B$5)^($A83-Inputs!$B$80))</f>
        <v>106510.06861887571</v>
      </c>
      <c r="J83" s="14">
        <f t="shared" si="6"/>
        <v>242018.30552795361</v>
      </c>
    </row>
    <row r="84" spans="1:10" x14ac:dyDescent="0.25">
      <c r="A84" s="20">
        <v>2047</v>
      </c>
      <c r="B84">
        <f t="shared" si="3"/>
        <v>75</v>
      </c>
      <c r="C84">
        <f t="shared" si="4"/>
        <v>70</v>
      </c>
      <c r="D84" s="18">
        <f>IF($A84=Inputs!$B$80,0,IF(Inputs!$B$49=1,Inputs!$B$48,IF($A84&gt;=Inputs!$B$47,Inputs!$B$46,Inputs!$B$45-(Inputs!$B$45-Inputs!$B$46)*($A84-(Inputs!$B$80+1))/(Inputs!$B$47-(Inputs!$B$80+1)))))</f>
        <v>0.06</v>
      </c>
      <c r="E84" s="21">
        <f t="shared" si="7"/>
        <v>4.09542190654237</v>
      </c>
      <c r="F84" s="14">
        <f>IF(OR(Inputs!$B$44=0,$A84&lt;Inputs!$B$81,$A84&gt;Inputs!$B$84),0,IF(Inputs!$B$44=1,INDEX($B$15:$B$60,MATCH(B84,$A$15:$A$60,0)),INDEX($D$15:$D$60,MATCH(B84,$A$15:$A$60,0))))</f>
        <v>53887</v>
      </c>
      <c r="G84" s="14">
        <f>IF(OR(Inputs!$B$44=0,$A84&lt;Inputs!$B$82),0,IF(Inputs!$B$44=1,INDEX($C$15:$C$60,MATCH(C84,$A$15:$A$60,0)),INDEX($D$15:$D$60,MATCH(C84,$A$15:$A$60,0))))</f>
        <v>40990</v>
      </c>
      <c r="H84" s="14">
        <f t="shared" si="5"/>
        <v>388561.34422702045</v>
      </c>
      <c r="I84" s="14">
        <f>IF(OR(Inputs!$B$44=0,$A84&lt;Inputs!$B$81),0,Inputs!$B$50*(1+Inputs!$B$5)^($A84-Inputs!$B$80))</f>
        <v>109172.82033434759</v>
      </c>
      <c r="J84" s="14">
        <f t="shared" si="6"/>
        <v>279388.52389267285</v>
      </c>
    </row>
    <row r="85" spans="1:10" x14ac:dyDescent="0.25">
      <c r="A85" s="20">
        <v>2048</v>
      </c>
      <c r="B85">
        <f t="shared" si="3"/>
        <v>76</v>
      </c>
      <c r="C85">
        <f t="shared" si="4"/>
        <v>71</v>
      </c>
      <c r="D85" s="18">
        <f>IF($A85=Inputs!$B$80,0,IF(Inputs!$B$49=1,Inputs!$B$48,IF($A85&gt;=Inputs!$B$47,Inputs!$B$46,Inputs!$B$45-(Inputs!$B$45-Inputs!$B$46)*($A85-(Inputs!$B$80+1))/(Inputs!$B$47-(Inputs!$B$80+1)))))</f>
        <v>0.06</v>
      </c>
      <c r="E85" s="21">
        <f t="shared" si="7"/>
        <v>4.3411472209349125</v>
      </c>
      <c r="F85" s="14">
        <f>IF(OR(Inputs!$B$44=0,$A85&lt;Inputs!$B$81,$A85&gt;Inputs!$B$84),0,IF(Inputs!$B$44=1,INDEX($B$15:$B$60,MATCH(B85,$A$15:$A$60,0)),INDEX($D$15:$D$60,MATCH(B85,$A$15:$A$60,0))))</f>
        <v>55710.710648470209</v>
      </c>
      <c r="G85" s="14">
        <f>IF(OR(Inputs!$B$44=0,$A85&lt;Inputs!$B$82),0,IF(Inputs!$B$44=1,INDEX($C$15:$C$60,MATCH(C85,$A$15:$A$60,0)),INDEX($D$15:$D$60,MATCH(C85,$A$15:$A$60,0))))</f>
        <v>43188.72312279437</v>
      </c>
      <c r="H85" s="14">
        <f t="shared" si="5"/>
        <v>429337.00206816167</v>
      </c>
      <c r="I85" s="14">
        <f>IF(OR(Inputs!$B$44=0,$A85&lt;Inputs!$B$81),0,Inputs!$B$50*(1+Inputs!$B$5)^($A85-Inputs!$B$80))</f>
        <v>111902.14084270629</v>
      </c>
      <c r="J85" s="14">
        <f t="shared" si="6"/>
        <v>317434.86122545542</v>
      </c>
    </row>
    <row r="86" spans="1:10" x14ac:dyDescent="0.25">
      <c r="A86" s="20">
        <v>2049</v>
      </c>
      <c r="B86">
        <f t="shared" si="3"/>
        <v>77</v>
      </c>
      <c r="C86">
        <f t="shared" si="4"/>
        <v>72</v>
      </c>
      <c r="D86" s="18">
        <f>IF($A86=Inputs!$B$80,0,IF(Inputs!$B$49=1,Inputs!$B$48,IF($A86&gt;=Inputs!$B$47,Inputs!$B$46,Inputs!$B$45-(Inputs!$B$45-Inputs!$B$46)*($A86-(Inputs!$B$80+1))/(Inputs!$B$47-(Inputs!$B$80+1)))))</f>
        <v>0.06</v>
      </c>
      <c r="E86" s="21">
        <f t="shared" si="7"/>
        <v>4.6016160541910072</v>
      </c>
      <c r="F86" s="14">
        <f>IF(OR(Inputs!$B$44=0,$A86&lt;Inputs!$B$81,$A86&gt;Inputs!$B$84),0,IF(Inputs!$B$44=1,INDEX($B$15:$B$60,MATCH(B86,$A$15:$A$60,0)),INDEX($D$15:$D$60,MATCH(B86,$A$15:$A$60,0))))</f>
        <v>57596.141573247209</v>
      </c>
      <c r="G86" s="14">
        <f>IF(OR(Inputs!$B$44=0,$A86&lt;Inputs!$B$82),0,IF(Inputs!$B$44=1,INDEX($C$15:$C$60,MATCH(C86,$A$15:$A$60,0)),INDEX($D$15:$D$60,MATCH(C86,$A$15:$A$60,0))))</f>
        <v>45505.38680110743</v>
      </c>
      <c r="H86" s="14">
        <f t="shared" si="5"/>
        <v>474433.64817905996</v>
      </c>
      <c r="I86" s="14">
        <f>IF(OR(Inputs!$B$44=0,$A86&lt;Inputs!$B$81),0,Inputs!$B$50*(1+Inputs!$B$5)^($A86-Inputs!$B$80))</f>
        <v>114699.69436377395</v>
      </c>
      <c r="J86" s="14">
        <f t="shared" si="6"/>
        <v>359733.95381528605</v>
      </c>
    </row>
    <row r="87" spans="1:10" x14ac:dyDescent="0.25">
      <c r="A87" s="20">
        <v>2050</v>
      </c>
      <c r="B87">
        <f t="shared" si="3"/>
        <v>78</v>
      </c>
      <c r="C87">
        <f t="shared" si="4"/>
        <v>73</v>
      </c>
      <c r="D87" s="18">
        <f>IF($A87=Inputs!$B$80,0,IF(Inputs!$B$49=1,Inputs!$B$48,IF($A87&gt;=Inputs!$B$47,Inputs!$B$46,Inputs!$B$45-(Inputs!$B$45-Inputs!$B$46)*($A87-(Inputs!$B$80+1))/(Inputs!$B$47-(Inputs!$B$80+1)))))</f>
        <v>0.06</v>
      </c>
      <c r="E87" s="21">
        <f t="shared" si="7"/>
        <v>4.8777130174424679</v>
      </c>
      <c r="F87" s="14">
        <f>IF(OR(Inputs!$B$44=0,$A87&lt;Inputs!$B$81,$A87&gt;Inputs!$B$84),0,IF(Inputs!$B$44=1,INDEX($B$15:$B$60,MATCH(B87,$A$15:$A$60,0)),INDEX($D$15:$D$60,MATCH(B87,$A$15:$A$60,0))))</f>
        <v>59545.381588425793</v>
      </c>
      <c r="G87" s="14">
        <f>IF(OR(Inputs!$B$44=0,$A87&lt;Inputs!$B$82),0,IF(Inputs!$B$44=1,INDEX($C$15:$C$60,MATCH(C87,$A$15:$A$60,0)),INDEX($D$15:$D$60,MATCH(C87,$A$15:$A$60,0))))</f>
        <v>47946.317422510139</v>
      </c>
      <c r="H87" s="14">
        <f t="shared" si="5"/>
        <v>524313.65953264979</v>
      </c>
      <c r="I87" s="14">
        <f>IF(OR(Inputs!$B$44=0,$A87&lt;Inputs!$B$81),0,Inputs!$B$50*(1+Inputs!$B$5)^($A87-Inputs!$B$80))</f>
        <v>117567.18672286828</v>
      </c>
      <c r="J87" s="14">
        <f t="shared" si="6"/>
        <v>406746.4728097815</v>
      </c>
    </row>
    <row r="88" spans="1:10" x14ac:dyDescent="0.25">
      <c r="A88" s="20">
        <v>2051</v>
      </c>
      <c r="B88">
        <f t="shared" si="3"/>
        <v>79</v>
      </c>
      <c r="C88">
        <f t="shared" si="4"/>
        <v>74</v>
      </c>
      <c r="D88" s="18">
        <f>IF($A88=Inputs!$B$80,0,IF(Inputs!$B$49=1,Inputs!$B$48,IF($A88&gt;=Inputs!$B$47,Inputs!$B$46,Inputs!$B$45-(Inputs!$B$45-Inputs!$B$46)*($A88-(Inputs!$B$80+1))/(Inputs!$B$47-(Inputs!$B$80+1)))))</f>
        <v>0.06</v>
      </c>
      <c r="E88" s="21">
        <f t="shared" si="7"/>
        <v>5.1703757984890162</v>
      </c>
      <c r="F88" s="14">
        <f>IF(OR(Inputs!$B$44=0,$A88&lt;Inputs!$B$81,$A88&gt;Inputs!$B$84),0,IF(Inputs!$B$44=1,INDEX($B$15:$B$60,MATCH(B88,$A$15:$A$60,0)),INDEX($D$15:$D$60,MATCH(B88,$A$15:$A$60,0))))</f>
        <v>61560.590200336541</v>
      </c>
      <c r="G88" s="14">
        <f>IF(OR(Inputs!$B$44=0,$A88&lt;Inputs!$B$82),0,IF(Inputs!$B$44=1,INDEX($C$15:$C$60,MATCH(C88,$A$15:$A$60,0)),INDEX($D$15:$D$60,MATCH(C88,$A$15:$A$60,0))))</f>
        <v>50518.180725015911</v>
      </c>
      <c r="H88" s="14">
        <f t="shared" si="5"/>
        <v>579489.36471683672</v>
      </c>
      <c r="I88" s="14">
        <f>IF(OR(Inputs!$B$44=0,$A88&lt;Inputs!$B$81),0,Inputs!$B$50*(1+Inputs!$B$5)^($A88-Inputs!$B$80))</f>
        <v>120506.36639093996</v>
      </c>
      <c r="J88" s="14">
        <f t="shared" si="6"/>
        <v>458982.99832589674</v>
      </c>
    </row>
    <row r="89" spans="1:10" x14ac:dyDescent="0.25">
      <c r="A89" s="20">
        <v>2052</v>
      </c>
      <c r="B89">
        <f t="shared" si="3"/>
        <v>80</v>
      </c>
      <c r="C89">
        <f t="shared" si="4"/>
        <v>75</v>
      </c>
      <c r="D89" s="18">
        <f>IF($A89=Inputs!$B$80,0,IF(Inputs!$B$49=1,Inputs!$B$48,IF($A89&gt;=Inputs!$B$47,Inputs!$B$46,Inputs!$B$45-(Inputs!$B$45-Inputs!$B$46)*($A89-(Inputs!$B$80+1))/(Inputs!$B$47-(Inputs!$B$80+1)))))</f>
        <v>0.06</v>
      </c>
      <c r="E89" s="21">
        <f t="shared" si="7"/>
        <v>5.4805983463983576</v>
      </c>
      <c r="F89" s="14">
        <f>IF(OR(Inputs!$B$44=0,$A89&lt;Inputs!$B$81,$A89&gt;Inputs!$B$84),0,IF(Inputs!$B$44=1,INDEX($B$15:$B$60,MATCH(B89,$A$15:$A$60,0)),INDEX($D$15:$D$60,MATCH(B89,$A$15:$A$60,0))))</f>
        <v>63644</v>
      </c>
      <c r="G89" s="14">
        <f>IF(OR(Inputs!$B$44=0,$A89&lt;Inputs!$B$82),0,IF(Inputs!$B$44=1,INDEX($C$15:$C$60,MATCH(C89,$A$15:$A$60,0)),INDEX($D$15:$D$60,MATCH(C89,$A$15:$A$60,0))))</f>
        <v>53228</v>
      </c>
      <c r="H89" s="14">
        <f t="shared" si="5"/>
        <v>640528.4899402688</v>
      </c>
      <c r="I89" s="14">
        <f>IF(OR(Inputs!$B$44=0,$A89&lt;Inputs!$B$81),0,Inputs!$B$50*(1+Inputs!$B$5)^($A89-Inputs!$B$80))</f>
        <v>123519.02555071346</v>
      </c>
      <c r="J89" s="14">
        <f t="shared" si="6"/>
        <v>517009.46438955533</v>
      </c>
    </row>
    <row r="90" spans="1:10" x14ac:dyDescent="0.25">
      <c r="A90" s="20">
        <v>2053</v>
      </c>
      <c r="B90">
        <f t="shared" si="3"/>
        <v>81</v>
      </c>
      <c r="C90">
        <f t="shared" si="4"/>
        <v>76</v>
      </c>
      <c r="D90" s="18">
        <f>IF($A90=Inputs!$B$80,0,IF(Inputs!$B$49=1,Inputs!$B$48,IF($A90&gt;=Inputs!$B$47,Inputs!$B$46,Inputs!$B$45-(Inputs!$B$45-Inputs!$B$46)*($A90-(Inputs!$B$80+1))/(Inputs!$B$47-(Inputs!$B$80+1)))))</f>
        <v>0.06</v>
      </c>
      <c r="E90" s="21">
        <f t="shared" si="7"/>
        <v>5.8094342471822591</v>
      </c>
      <c r="F90" s="14">
        <f>IF(OR(Inputs!$B$44=0,$A90&lt;Inputs!$B$81,$A90&gt;Inputs!$B$84),0,IF(Inputs!$B$44=1,INDEX($B$15:$B$60,MATCH(B90,$A$15:$A$60,0)),INDEX($D$15:$D$60,MATCH(B90,$A$15:$A$60,0))))</f>
        <v>65797.919136549404</v>
      </c>
      <c r="G90" s="14">
        <f>IF(OR(Inputs!$B$44=0,$A90&lt;Inputs!$B$82),0,IF(Inputs!$B$44=1,INDEX($C$15:$C$60,MATCH(C90,$A$15:$A$60,0)),INDEX($D$15:$D$60,MATCH(C90,$A$15:$A$60,0))))</f>
        <v>55012.997845753707</v>
      </c>
      <c r="H90" s="14">
        <f t="shared" si="5"/>
        <v>701843.0785504845</v>
      </c>
      <c r="I90" s="14">
        <f>IF(OR(Inputs!$B$44=0,$A90&lt;Inputs!$B$81),0,Inputs!$B$50*(1+Inputs!$B$5)^($A90-Inputs!$B$80))</f>
        <v>126607.00118948129</v>
      </c>
      <c r="J90" s="14">
        <f t="shared" si="6"/>
        <v>575236.07736100326</v>
      </c>
    </row>
    <row r="91" spans="1:10" x14ac:dyDescent="0.25">
      <c r="A91" s="20">
        <v>2054</v>
      </c>
      <c r="B91">
        <f t="shared" si="3"/>
        <v>82</v>
      </c>
      <c r="C91">
        <f t="shared" si="4"/>
        <v>77</v>
      </c>
      <c r="D91" s="18">
        <f>IF($A91=Inputs!$B$80,0,IF(Inputs!$B$49=1,Inputs!$B$48,IF($A91&gt;=Inputs!$B$47,Inputs!$B$46,Inputs!$B$45-(Inputs!$B$45-Inputs!$B$46)*($A91-(Inputs!$B$80+1))/(Inputs!$B$47-(Inputs!$B$80+1)))))</f>
        <v>0.06</v>
      </c>
      <c r="E91" s="21">
        <f t="shared" si="7"/>
        <v>6.1580003020131953</v>
      </c>
      <c r="F91" s="14">
        <f>IF(OR(Inputs!$B$44=0,$A91&lt;Inputs!$B$81,$A91&gt;Inputs!$B$84),0,IF(Inputs!$B$44=1,INDEX($B$15:$B$60,MATCH(B91,$A$15:$A$60,0)),INDEX($D$15:$D$60,MATCH(B91,$A$15:$A$60,0))))</f>
        <v>68024.733874361991</v>
      </c>
      <c r="G91" s="14">
        <f>IF(OR(Inputs!$B$44=0,$A91&lt;Inputs!$B$82),0,IF(Inputs!$B$44=1,INDEX($C$15:$C$60,MATCH(C91,$A$15:$A$60,0)),INDEX($D$15:$D$60,MATCH(C91,$A$15:$A$60,0))))</f>
        <v>56857.855489157992</v>
      </c>
      <c r="H91" s="14">
        <f t="shared" si="5"/>
        <v>769027.02301674581</v>
      </c>
      <c r="I91" s="14">
        <f>IF(OR(Inputs!$B$44=0,$A91&lt;Inputs!$B$81),0,Inputs!$B$50*(1+Inputs!$B$5)^($A91-Inputs!$B$80))</f>
        <v>129772.17621921831</v>
      </c>
      <c r="J91" s="14">
        <f t="shared" si="6"/>
        <v>639254.84679752751</v>
      </c>
    </row>
    <row r="92" spans="1:10" x14ac:dyDescent="0.25">
      <c r="A92" s="20">
        <v>2055</v>
      </c>
      <c r="B92">
        <f t="shared" si="3"/>
        <v>83</v>
      </c>
      <c r="C92">
        <f t="shared" si="4"/>
        <v>78</v>
      </c>
      <c r="D92" s="18">
        <f>IF($A92=Inputs!$B$80,0,IF(Inputs!$B$49=1,Inputs!$B$48,IF($A92&gt;=Inputs!$B$47,Inputs!$B$46,Inputs!$B$45-(Inputs!$B$45-Inputs!$B$46)*($A92-(Inputs!$B$80+1))/(Inputs!$B$47-(Inputs!$B$80+1)))))</f>
        <v>0.06</v>
      </c>
      <c r="E92" s="21">
        <f t="shared" si="7"/>
        <v>6.5274803201339875</v>
      </c>
      <c r="F92" s="14">
        <f>IF(OR(Inputs!$B$44=0,$A92&lt;Inputs!$B$81,$A92&gt;Inputs!$B$84),0,IF(Inputs!$B$44=1,INDEX($B$15:$B$60,MATCH(B92,$A$15:$A$60,0)),INDEX($D$15:$D$60,MATCH(B92,$A$15:$A$60,0))))</f>
        <v>70326.911236731874</v>
      </c>
      <c r="G92" s="14">
        <f>IF(OR(Inputs!$B$44=0,$A92&lt;Inputs!$B$82),0,IF(Inputs!$B$44=1,INDEX($C$15:$C$60,MATCH(C92,$A$15:$A$60,0)),INDEX($D$15:$D$60,MATCH(C92,$A$15:$A$60,0))))</f>
        <v>58764.580325002338</v>
      </c>
      <c r="H92" s="14">
        <f t="shared" si="5"/>
        <v>842642.17066596274</v>
      </c>
      <c r="I92" s="14">
        <f>IF(OR(Inputs!$B$44=0,$A92&lt;Inputs!$B$81),0,Inputs!$B$50*(1+Inputs!$B$5)^($A92-Inputs!$B$80))</f>
        <v>133016.48062469877</v>
      </c>
      <c r="J92" s="14">
        <f t="shared" si="6"/>
        <v>709625.69004126394</v>
      </c>
    </row>
    <row r="93" spans="1:10" x14ac:dyDescent="0.25">
      <c r="A93" s="20">
        <v>2056</v>
      </c>
      <c r="B93">
        <f t="shared" si="3"/>
        <v>84</v>
      </c>
      <c r="C93">
        <f t="shared" si="4"/>
        <v>79</v>
      </c>
      <c r="D93" s="18">
        <f>IF($A93=Inputs!$B$80,0,IF(Inputs!$B$49=1,Inputs!$B$48,IF($A93&gt;=Inputs!$B$47,Inputs!$B$46,Inputs!$B$45-(Inputs!$B$45-Inputs!$B$46)*($A93-(Inputs!$B$80+1))/(Inputs!$B$47-(Inputs!$B$80+1)))))</f>
        <v>0.06</v>
      </c>
      <c r="E93" s="21">
        <f t="shared" si="7"/>
        <v>6.9191291393420267</v>
      </c>
      <c r="F93" s="14">
        <f>IF(OR(Inputs!$B$44=0,$A93&lt;Inputs!$B$81,$A93&gt;Inputs!$B$84),0,IF(Inputs!$B$44=1,INDEX($B$15:$B$60,MATCH(B93,$A$15:$A$60,0)),INDEX($D$15:$D$60,MATCH(B93,$A$15:$A$60,0))))</f>
        <v>72707.001739013445</v>
      </c>
      <c r="G93" s="14">
        <f>IF(OR(Inputs!$B$44=0,$A93&lt;Inputs!$B$82),0,IF(Inputs!$B$44=1,INDEX($C$15:$C$60,MATCH(C93,$A$15:$A$60,0)),INDEX($D$15:$D$60,MATCH(C93,$A$15:$A$60,0))))</f>
        <v>60735.247065942247</v>
      </c>
      <c r="H93" s="14">
        <f t="shared" si="5"/>
        <v>923304.15212569758</v>
      </c>
      <c r="I93" s="14">
        <f>IF(OR(Inputs!$B$44=0,$A93&lt;Inputs!$B$81),0,Inputs!$B$50*(1+Inputs!$B$5)^($A93-Inputs!$B$80))</f>
        <v>136341.89264031622</v>
      </c>
      <c r="J93" s="14">
        <f t="shared" si="6"/>
        <v>786962.25948538142</v>
      </c>
    </row>
    <row r="94" spans="1:10" x14ac:dyDescent="0.25">
      <c r="A94" s="20">
        <v>2057</v>
      </c>
      <c r="B94">
        <f t="shared" si="3"/>
        <v>85</v>
      </c>
      <c r="C94">
        <f t="shared" si="4"/>
        <v>80</v>
      </c>
      <c r="D94" s="18">
        <f>IF($A94=Inputs!$B$80,0,IF(Inputs!$B$49=1,Inputs!$B$48,IF($A94&gt;=Inputs!$B$47,Inputs!$B$46,Inputs!$B$45-(Inputs!$B$45-Inputs!$B$46)*($A94-(Inputs!$B$80+1))/(Inputs!$B$47-(Inputs!$B$80+1)))))</f>
        <v>0.06</v>
      </c>
      <c r="E94" s="21">
        <f t="shared" si="7"/>
        <v>7.3342768877025488</v>
      </c>
      <c r="F94" s="14">
        <f>IF(OR(Inputs!$B$44=0,$A94&lt;Inputs!$B$81,$A94&gt;Inputs!$B$84),0,IF(Inputs!$B$44=1,INDEX($B$15:$B$60,MATCH(B94,$A$15:$A$60,0)),INDEX($D$15:$D$60,MATCH(B94,$A$15:$A$60,0))))</f>
        <v>0</v>
      </c>
      <c r="G94" s="14">
        <f>IF(OR(Inputs!$B$44=0,$A94&lt;Inputs!$B$82),0,IF(Inputs!$B$44=1,INDEX($C$15:$C$60,MATCH(C94,$A$15:$A$60,0)),INDEX($D$15:$D$60,MATCH(C94,$A$15:$A$60,0))))</f>
        <v>62772</v>
      </c>
      <c r="H94" s="14">
        <f t="shared" si="5"/>
        <v>460387.22879486438</v>
      </c>
      <c r="I94" s="14">
        <f>IF(OR(Inputs!$B$44=0,$A94&lt;Inputs!$B$81),0,Inputs!$B$50*(1+Inputs!$B$5)^($A94-Inputs!$B$80))</f>
        <v>139750.43995632418</v>
      </c>
      <c r="J94" s="14">
        <f t="shared" si="6"/>
        <v>320636.7888385402</v>
      </c>
    </row>
    <row r="95" spans="1:10" x14ac:dyDescent="0.25">
      <c r="A95" s="20">
        <v>2058</v>
      </c>
      <c r="B95">
        <f t="shared" si="3"/>
        <v>86</v>
      </c>
      <c r="C95">
        <f t="shared" si="4"/>
        <v>81</v>
      </c>
      <c r="D95" s="18">
        <f>IF($A95=Inputs!$B$80,0,IF(Inputs!$B$49=1,Inputs!$B$48,IF($A95&gt;=Inputs!$B$47,Inputs!$B$46,Inputs!$B$45-(Inputs!$B$45-Inputs!$B$46)*($A95-(Inputs!$B$80+1))/(Inputs!$B$47-(Inputs!$B$80+1)))))</f>
        <v>0.06</v>
      </c>
      <c r="E95" s="21">
        <f t="shared" si="7"/>
        <v>7.7743335009647021</v>
      </c>
      <c r="F95" s="14">
        <f>IF(OR(Inputs!$B$44=0,$A95&lt;Inputs!$B$81,$A95&gt;Inputs!$B$84),0,IF(Inputs!$B$44=1,INDEX($B$15:$B$60,MATCH(B95,$A$15:$A$60,0)),INDEX($D$15:$D$60,MATCH(B95,$A$15:$A$60,0))))</f>
        <v>0</v>
      </c>
      <c r="G95" s="14">
        <f>IF(OR(Inputs!$B$44=0,$A95&lt;Inputs!$B$82),0,IF(Inputs!$B$44=1,INDEX($C$15:$C$60,MATCH(C95,$A$15:$A$60,0)),INDEX($D$15:$D$60,MATCH(C95,$A$15:$A$60,0))))</f>
        <v>64877.055323770415</v>
      </c>
      <c r="H95" s="14">
        <f t="shared" si="5"/>
        <v>504375.86464752874</v>
      </c>
      <c r="I95" s="14">
        <f>IF(OR(Inputs!$B$44=0,$A95&lt;Inputs!$B$81),0,Inputs!$B$50*(1+Inputs!$B$5)^($A95-Inputs!$B$80))</f>
        <v>143244.20095523223</v>
      </c>
      <c r="J95" s="14">
        <f t="shared" si="6"/>
        <v>361131.66369229648</v>
      </c>
    </row>
    <row r="96" spans="1:10" x14ac:dyDescent="0.25">
      <c r="A96" s="20">
        <v>2059</v>
      </c>
      <c r="B96">
        <f t="shared" si="3"/>
        <v>87</v>
      </c>
      <c r="C96">
        <f t="shared" si="4"/>
        <v>82</v>
      </c>
      <c r="D96" s="18">
        <f>IF($A96=Inputs!$B$80,0,IF(Inputs!$B$49=1,Inputs!$B$48,IF($A96&gt;=Inputs!$B$47,Inputs!$B$46,Inputs!$B$45-(Inputs!$B$45-Inputs!$B$46)*($A96-(Inputs!$B$80+1))/(Inputs!$B$47-(Inputs!$B$80+1)))))</f>
        <v>0.06</v>
      </c>
      <c r="E96" s="21">
        <f t="shared" si="7"/>
        <v>8.2407935110225843</v>
      </c>
      <c r="F96" s="14">
        <f>IF(OR(Inputs!$B$44=0,$A96&lt;Inputs!$B$81,$A96&gt;Inputs!$B$84),0,IF(Inputs!$B$44=1,INDEX($B$15:$B$60,MATCH(B96,$A$15:$A$60,0)),INDEX($D$15:$D$60,MATCH(B96,$A$15:$A$60,0))))</f>
        <v>0</v>
      </c>
      <c r="G96" s="14">
        <f>IF(OR(Inputs!$B$44=0,$A96&lt;Inputs!$B$82),0,IF(Inputs!$B$44=1,INDEX($C$15:$C$60,MATCH(C96,$A$15:$A$60,0)),INDEX($D$15:$D$60,MATCH(C96,$A$15:$A$60,0))))</f>
        <v>67052.703553870626</v>
      </c>
      <c r="H96" s="14">
        <f t="shared" si="5"/>
        <v>552567.48434325808</v>
      </c>
      <c r="I96" s="14">
        <f>IF(OR(Inputs!$B$44=0,$A96&lt;Inputs!$B$81),0,Inputs!$B$50*(1+Inputs!$B$5)^($A96-Inputs!$B$80))</f>
        <v>146825.30597911304</v>
      </c>
      <c r="J96" s="14">
        <f t="shared" si="6"/>
        <v>405742.17836414505</v>
      </c>
    </row>
    <row r="97" spans="1:10" x14ac:dyDescent="0.25">
      <c r="A97" s="20">
        <v>2060</v>
      </c>
      <c r="B97">
        <f t="shared" si="3"/>
        <v>88</v>
      </c>
      <c r="C97">
        <f t="shared" si="4"/>
        <v>83</v>
      </c>
      <c r="D97" s="18">
        <f>IF($A97=Inputs!$B$80,0,IF(Inputs!$B$49=1,Inputs!$B$48,IF($A97&gt;=Inputs!$B$47,Inputs!$B$46,Inputs!$B$45-(Inputs!$B$45-Inputs!$B$46)*($A97-(Inputs!$B$80+1))/(Inputs!$B$47-(Inputs!$B$80+1)))))</f>
        <v>0.06</v>
      </c>
      <c r="E97" s="21">
        <f t="shared" si="7"/>
        <v>8.7352411216839396</v>
      </c>
      <c r="F97" s="14">
        <f>IF(OR(Inputs!$B$44=0,$A97&lt;Inputs!$B$81,$A97&gt;Inputs!$B$84),0,IF(Inputs!$B$44=1,INDEX($B$15:$B$60,MATCH(B97,$A$15:$A$60,0)),INDEX($D$15:$D$60,MATCH(B97,$A$15:$A$60,0))))</f>
        <v>0</v>
      </c>
      <c r="G97" s="14">
        <f>IF(OR(Inputs!$B$44=0,$A97&lt;Inputs!$B$82),0,IF(Inputs!$B$44=1,INDEX($C$15:$C$60,MATCH(C97,$A$15:$A$60,0)),INDEX($D$15:$D$60,MATCH(C97,$A$15:$A$60,0))))</f>
        <v>69301.312019257661</v>
      </c>
      <c r="H97" s="14">
        <f t="shared" si="5"/>
        <v>605363.67053726898</v>
      </c>
      <c r="I97" s="14">
        <f>IF(OR(Inputs!$B$44=0,$A97&lt;Inputs!$B$81),0,Inputs!$B$50*(1+Inputs!$B$5)^($A97-Inputs!$B$80))</f>
        <v>150495.93862859087</v>
      </c>
      <c r="J97" s="14">
        <f t="shared" si="6"/>
        <v>454867.73190867808</v>
      </c>
    </row>
    <row r="98" spans="1:10" x14ac:dyDescent="0.25">
      <c r="A98" s="20">
        <v>2061</v>
      </c>
      <c r="B98">
        <f t="shared" si="3"/>
        <v>89</v>
      </c>
      <c r="C98">
        <f t="shared" si="4"/>
        <v>84</v>
      </c>
      <c r="D98" s="18">
        <f>IF($A98=Inputs!$B$80,0,IF(Inputs!$B$49=1,Inputs!$B$48,IF($A98&gt;=Inputs!$B$47,Inputs!$B$46,Inputs!$B$45-(Inputs!$B$45-Inputs!$B$46)*($A98-(Inputs!$B$80+1))/(Inputs!$B$47-(Inputs!$B$80+1)))))</f>
        <v>0.06</v>
      </c>
      <c r="E98" s="21">
        <f t="shared" si="7"/>
        <v>9.2593555889849757</v>
      </c>
      <c r="F98" s="14">
        <f>IF(OR(Inputs!$B$44=0,$A98&lt;Inputs!$B$81,$A98&gt;Inputs!$B$84),0,IF(Inputs!$B$44=1,INDEX($B$15:$B$60,MATCH(B98,$A$15:$A$60,0)),INDEX($D$15:$D$60,MATCH(B98,$A$15:$A$60,0))))</f>
        <v>0</v>
      </c>
      <c r="G98" s="14">
        <f>IF(OR(Inputs!$B$44=0,$A98&lt;Inputs!$B$82),0,IF(Inputs!$B$44=1,INDEX($C$15:$C$60,MATCH(C98,$A$15:$A$60,0)),INDEX($D$15:$D$60,MATCH(C98,$A$15:$A$60,0))))</f>
        <v>71625.327437125714</v>
      </c>
      <c r="H98" s="14">
        <f t="shared" si="5"/>
        <v>663204.37591782887</v>
      </c>
      <c r="I98" s="14">
        <f>IF(OR(Inputs!$B$44=0,$A98&lt;Inputs!$B$81),0,Inputs!$B$50*(1+Inputs!$B$5)^($A98-Inputs!$B$80))</f>
        <v>154258.33709430561</v>
      </c>
      <c r="J98" s="14">
        <f t="shared" si="6"/>
        <v>508946.03882352327</v>
      </c>
    </row>
    <row r="99" spans="1:10" x14ac:dyDescent="0.25">
      <c r="A99" s="20">
        <v>2062</v>
      </c>
      <c r="B99">
        <f t="shared" si="3"/>
        <v>90</v>
      </c>
      <c r="C99">
        <f t="shared" si="4"/>
        <v>85</v>
      </c>
      <c r="D99" s="18">
        <f>IF($A99=Inputs!$B$80,0,IF(Inputs!$B$49=1,Inputs!$B$48,IF($A99&gt;=Inputs!$B$47,Inputs!$B$46,Inputs!$B$45-(Inputs!$B$45-Inputs!$B$46)*($A99-(Inputs!$B$80+1))/(Inputs!$B$47-(Inputs!$B$80+1)))))</f>
        <v>0.06</v>
      </c>
      <c r="E99" s="21">
        <f t="shared" si="7"/>
        <v>9.8149169243240753</v>
      </c>
      <c r="F99" s="14">
        <f>IF(OR(Inputs!$B$44=0,$A99&lt;Inputs!$B$81,$A99&gt;Inputs!$B$84),0,IF(Inputs!$B$44=1,INDEX($B$15:$B$60,MATCH(B99,$A$15:$A$60,0)),INDEX($D$15:$D$60,MATCH(B99,$A$15:$A$60,0))))</f>
        <v>0</v>
      </c>
      <c r="G99" s="14">
        <f>IF(OR(Inputs!$B$44=0,$A99&lt;Inputs!$B$82),0,IF(Inputs!$B$44=1,INDEX($C$15:$C$60,MATCH(C99,$A$15:$A$60,0)),INDEX($D$15:$D$60,MATCH(C99,$A$15:$A$60,0))))</f>
        <v>74027.278575186006</v>
      </c>
      <c r="H99" s="14">
        <f t="shared" si="5"/>
        <v>726571.58934924612</v>
      </c>
      <c r="I99" s="14">
        <f>IF(OR(Inputs!$B$44=0,$A99&lt;Inputs!$B$81),0,Inputs!$B$50*(1+Inputs!$B$5)^($A99-Inputs!$B$80))</f>
        <v>158114.79552166327</v>
      </c>
      <c r="J99" s="14">
        <f t="shared" si="6"/>
        <v>568456.79382758285</v>
      </c>
    </row>
    <row r="100" spans="1:10" x14ac:dyDescent="0.25">
      <c r="A100" s="20">
        <v>2063</v>
      </c>
      <c r="B100">
        <f t="shared" si="3"/>
        <v>91</v>
      </c>
      <c r="C100">
        <f t="shared" si="4"/>
        <v>86</v>
      </c>
      <c r="D100" s="18">
        <f>IF($A100=Inputs!$B$80,0,IF(Inputs!$B$49=1,Inputs!$B$48,IF($A100&gt;=Inputs!$B$47,Inputs!$B$46,Inputs!$B$45-(Inputs!$B$45-Inputs!$B$46)*($A100-(Inputs!$B$80+1))/(Inputs!$B$47-(Inputs!$B$80+1)))))</f>
        <v>0.06</v>
      </c>
      <c r="E100" s="21">
        <f t="shared" si="7"/>
        <v>10.40381193978352</v>
      </c>
      <c r="F100" s="14">
        <f>IF(OR(Inputs!$B$44=0,$A100&lt;Inputs!$B$81,$A100&gt;Inputs!$B$84),0,IF(Inputs!$B$44=1,INDEX($B$15:$B$60,MATCH(B100,$A$15:$A$60,0)),INDEX($D$15:$D$60,MATCH(B100,$A$15:$A$60,0))))</f>
        <v>0</v>
      </c>
      <c r="G100" s="14">
        <f>IF(OR(Inputs!$B$44=0,$A100&lt;Inputs!$B$82),0,IF(Inputs!$B$44=1,INDEX($C$15:$C$60,MATCH(C100,$A$15:$A$60,0)),INDEX($D$15:$D$60,MATCH(C100,$A$15:$A$60,0))))</f>
        <v>76509.779003226067</v>
      </c>
      <c r="H100" s="14">
        <f t="shared" si="5"/>
        <v>795993.35230396176</v>
      </c>
      <c r="I100" s="14">
        <f>IF(OR(Inputs!$B$44=0,$A100&lt;Inputs!$B$81),0,Inputs!$B$50*(1+Inputs!$B$5)^($A100-Inputs!$B$80))</f>
        <v>162067.66540970482</v>
      </c>
      <c r="J100" s="14">
        <f t="shared" si="6"/>
        <v>633925.68689425697</v>
      </c>
    </row>
    <row r="101" spans="1:10" x14ac:dyDescent="0.25">
      <c r="A101" s="20">
        <v>2064</v>
      </c>
      <c r="B101">
        <f t="shared" si="3"/>
        <v>92</v>
      </c>
      <c r="C101">
        <f t="shared" si="4"/>
        <v>87</v>
      </c>
      <c r="D101" s="18">
        <f>IF($A101=Inputs!$B$80,0,IF(Inputs!$B$49=1,Inputs!$B$48,IF($A101&gt;=Inputs!$B$47,Inputs!$B$46,Inputs!$B$45-(Inputs!$B$45-Inputs!$B$46)*($A101-(Inputs!$B$80+1))/(Inputs!$B$47-(Inputs!$B$80+1)))))</f>
        <v>0.06</v>
      </c>
      <c r="E101" s="21">
        <f t="shared" si="7"/>
        <v>11.028040656170532</v>
      </c>
      <c r="F101" s="14">
        <f>IF(OR(Inputs!$B$44=0,$A101&lt;Inputs!$B$81,$A101&gt;Inputs!$B$84),0,IF(Inputs!$B$44=1,INDEX($B$15:$B$60,MATCH(B101,$A$15:$A$60,0)),INDEX($D$15:$D$60,MATCH(B101,$A$15:$A$60,0))))</f>
        <v>0</v>
      </c>
      <c r="G101" s="14">
        <f>IF(OR(Inputs!$B$44=0,$A101&lt;Inputs!$B$82),0,IF(Inputs!$B$44=1,INDEX($C$15:$C$60,MATCH(C101,$A$15:$A$60,0)),INDEX($D$15:$D$60,MATCH(C101,$A$15:$A$60,0))))</f>
        <v>79075.529936942359</v>
      </c>
      <c r="H101" s="14">
        <f t="shared" si="5"/>
        <v>872048.15905283031</v>
      </c>
      <c r="I101" s="14">
        <f>IF(OR(Inputs!$B$44=0,$A101&lt;Inputs!$B$81),0,Inputs!$B$50*(1+Inputs!$B$5)^($A101-Inputs!$B$80))</f>
        <v>166119.35704494742</v>
      </c>
      <c r="J101" s="14">
        <f t="shared" si="6"/>
        <v>705928.80200788286</v>
      </c>
    </row>
    <row r="102" spans="1:10" x14ac:dyDescent="0.25">
      <c r="A102" s="20">
        <v>2065</v>
      </c>
      <c r="B102">
        <f t="shared" si="3"/>
        <v>93</v>
      </c>
      <c r="C102">
        <f t="shared" si="4"/>
        <v>88</v>
      </c>
      <c r="D102" s="18">
        <f>IF($A102=Inputs!$B$80,0,IF(Inputs!$B$49=1,Inputs!$B$48,IF($A102&gt;=Inputs!$B$47,Inputs!$B$46,Inputs!$B$45-(Inputs!$B$45-Inputs!$B$46)*($A102-(Inputs!$B$80+1))/(Inputs!$B$47-(Inputs!$B$80+1)))))</f>
        <v>0.06</v>
      </c>
      <c r="E102" s="21">
        <f t="shared" si="7"/>
        <v>11.689723095540764</v>
      </c>
      <c r="F102" s="14">
        <f>IF(OR(Inputs!$B$44=0,$A102&lt;Inputs!$B$81,$A102&gt;Inputs!$B$84),0,IF(Inputs!$B$44=1,INDEX($B$15:$B$60,MATCH(B102,$A$15:$A$60,0)),INDEX($D$15:$D$60,MATCH(B102,$A$15:$A$60,0))))</f>
        <v>0</v>
      </c>
      <c r="G102" s="14">
        <f>IF(OR(Inputs!$B$44=0,$A102&lt;Inputs!$B$82),0,IF(Inputs!$B$44=1,INDEX($C$15:$C$60,MATCH(C102,$A$15:$A$60,0)),INDEX($D$15:$D$60,MATCH(C102,$A$15:$A$60,0))))</f>
        <v>81727.323177140657</v>
      </c>
      <c r="H102" s="14">
        <f t="shared" si="5"/>
        <v>955369.77728054509</v>
      </c>
      <c r="I102" s="14">
        <f>IF(OR(Inputs!$B$44=0,$A102&lt;Inputs!$B$81),0,Inputs!$B$50*(1+Inputs!$B$5)^($A102-Inputs!$B$80))</f>
        <v>170272.3409710711</v>
      </c>
      <c r="J102" s="14">
        <f t="shared" si="6"/>
        <v>785097.43630947405</v>
      </c>
    </row>
    <row r="103" spans="1:10" x14ac:dyDescent="0.25">
      <c r="A103" s="20">
        <v>2066</v>
      </c>
      <c r="B103">
        <f t="shared" si="3"/>
        <v>94</v>
      </c>
      <c r="C103">
        <f t="shared" si="4"/>
        <v>89</v>
      </c>
      <c r="D103" s="18">
        <f>IF($A103=Inputs!$B$80,0,IF(Inputs!$B$49=1,Inputs!$B$48,IF($A103&gt;=Inputs!$B$47,Inputs!$B$46,Inputs!$B$45-(Inputs!$B$45-Inputs!$B$46)*($A103-(Inputs!$B$80+1))/(Inputs!$B$47-(Inputs!$B$80+1)))))</f>
        <v>0.06</v>
      </c>
      <c r="E103" s="21">
        <f t="shared" si="7"/>
        <v>12.39110648127321</v>
      </c>
      <c r="F103" s="14">
        <f>IF(OR(Inputs!$B$44=0,$A103&lt;Inputs!$B$81,$A103&gt;Inputs!$B$84),0,IF(Inputs!$B$44=1,INDEX($B$15:$B$60,MATCH(B103,$A$15:$A$60,0)),INDEX($D$15:$D$60,MATCH(B103,$A$15:$A$60,0))))</f>
        <v>0</v>
      </c>
      <c r="G103" s="14">
        <f>IF(OR(Inputs!$B$44=0,$A103&lt;Inputs!$B$82),0,IF(Inputs!$B$44=1,INDEX($C$15:$C$60,MATCH(C103,$A$15:$A$60,0)),INDEX($D$15:$D$60,MATCH(C103,$A$15:$A$60,0))))</f>
        <v>84468.044147502369</v>
      </c>
      <c r="H103" s="14">
        <f t="shared" si="5"/>
        <v>1046652.5292965883</v>
      </c>
      <c r="I103" s="14">
        <f>IF(OR(Inputs!$B$44=0,$A103&lt;Inputs!$B$81),0,Inputs!$B$50*(1+Inputs!$B$5)^($A103-Inputs!$B$80))</f>
        <v>174529.14949534787</v>
      </c>
      <c r="J103" s="14">
        <f t="shared" si="6"/>
        <v>872123.3798012404</v>
      </c>
    </row>
    <row r="104" spans="1:10" x14ac:dyDescent="0.25">
      <c r="A104" s="20">
        <v>2067</v>
      </c>
      <c r="B104">
        <f t="shared" si="3"/>
        <v>95</v>
      </c>
      <c r="C104">
        <f t="shared" si="4"/>
        <v>90</v>
      </c>
      <c r="D104" s="18">
        <f>IF($A104=Inputs!$B$80,0,IF(Inputs!$B$49=1,Inputs!$B$48,IF($A104&gt;=Inputs!$B$47,Inputs!$B$46,Inputs!$B$45-(Inputs!$B$45-Inputs!$B$46)*($A104-(Inputs!$B$80+1))/(Inputs!$B$47-(Inputs!$B$80+1)))))</f>
        <v>0.06</v>
      </c>
      <c r="E104" s="21">
        <f t="shared" si="7"/>
        <v>13.134572870149604</v>
      </c>
      <c r="F104" s="14">
        <f>IF(OR(Inputs!$B$44=0,$A104&lt;Inputs!$B$81,$A104&gt;Inputs!$B$84),0,IF(Inputs!$B$44=1,INDEX($B$15:$B$60,MATCH(B104,$A$15:$A$60,0)),INDEX($D$15:$D$60,MATCH(B104,$A$15:$A$60,0))))</f>
        <v>0</v>
      </c>
      <c r="G104" s="14">
        <f>IF(OR(Inputs!$B$44=0,$A104&lt;Inputs!$B$82),0,IF(Inputs!$B$44=1,INDEX($C$15:$C$60,MATCH(C104,$A$15:$A$60,0)),INDEX($D$15:$D$60,MATCH(C104,$A$15:$A$60,0))))</f>
        <v>87300.675034222149</v>
      </c>
      <c r="H104" s="14">
        <f t="shared" si="5"/>
        <v>1146657.0778502412</v>
      </c>
      <c r="I104" s="14">
        <f>IF(OR(Inputs!$B$44=0,$A104&lt;Inputs!$B$81),0,Inputs!$B$50*(1+Inputs!$B$5)^($A104-Inputs!$B$80))</f>
        <v>178892.37823273157</v>
      </c>
      <c r="J104" s="14">
        <f t="shared" si="6"/>
        <v>967764.69961750961</v>
      </c>
    </row>
    <row r="105" spans="1:10" x14ac:dyDescent="0.25">
      <c r="A105" s="20">
        <v>2068</v>
      </c>
      <c r="B105">
        <f t="shared" si="3"/>
        <v>96</v>
      </c>
      <c r="C105">
        <f t="shared" si="4"/>
        <v>91</v>
      </c>
      <c r="D105" s="18">
        <f>IF($A105=Inputs!$B$80,0,IF(Inputs!$B$49=1,Inputs!$B$48,IF($A105&gt;=Inputs!$B$47,Inputs!$B$46,Inputs!$B$45-(Inputs!$B$45-Inputs!$B$46)*($A105-(Inputs!$B$80+1))/(Inputs!$B$47-(Inputs!$B$80+1)))))</f>
        <v>0.06</v>
      </c>
      <c r="E105" s="21">
        <f t="shared" si="7"/>
        <v>13.922647242358581</v>
      </c>
      <c r="F105" s="14">
        <f>IF(OR(Inputs!$B$44=0,$A105&lt;Inputs!$B$81,$A105&gt;Inputs!$B$84),0,IF(Inputs!$B$44=1,INDEX($B$15:$B$60,MATCH(B105,$A$15:$A$60,0)),INDEX($D$15:$D$60,MATCH(B105,$A$15:$A$60,0))))</f>
        <v>0</v>
      </c>
      <c r="G105" s="14">
        <f>IF(OR(Inputs!$B$44=0,$A105&lt;Inputs!$B$82),0,IF(Inputs!$B$44=1,INDEX($C$15:$C$60,MATCH(C105,$A$15:$A$60,0)),INDEX($D$15:$D$60,MATCH(C105,$A$15:$A$60,0))))</f>
        <v>90228.298030933103</v>
      </c>
      <c r="H105" s="14">
        <f t="shared" si="5"/>
        <v>1256216.7647630789</v>
      </c>
      <c r="I105" s="14">
        <f>IF(OR(Inputs!$B$44=0,$A105&lt;Inputs!$B$81),0,Inputs!$B$50*(1+Inputs!$B$5)^($A105-Inputs!$B$80))</f>
        <v>183364.68768854984</v>
      </c>
      <c r="J105" s="14">
        <f t="shared" si="6"/>
        <v>1072852.0770745291</v>
      </c>
    </row>
    <row r="106" spans="1:10" x14ac:dyDescent="0.25">
      <c r="A106" s="20">
        <v>2069</v>
      </c>
      <c r="B106">
        <f t="shared" si="3"/>
        <v>97</v>
      </c>
      <c r="C106">
        <f t="shared" si="4"/>
        <v>92</v>
      </c>
      <c r="D106" s="18">
        <f>IF($A106=Inputs!$B$80,0,IF(Inputs!$B$49=1,Inputs!$B$48,IF($A106&gt;=Inputs!$B$47,Inputs!$B$46,Inputs!$B$45-(Inputs!$B$45-Inputs!$B$46)*($A106-(Inputs!$B$80+1))/(Inputs!$B$47-(Inputs!$B$80+1)))))</f>
        <v>0.06</v>
      </c>
      <c r="E106" s="21">
        <f t="shared" si="7"/>
        <v>14.758006076900097</v>
      </c>
      <c r="F106" s="14">
        <f>IF(OR(Inputs!$B$44=0,$A106&lt;Inputs!$B$81,$A106&gt;Inputs!$B$84),0,IF(Inputs!$B$44=1,INDEX($B$15:$B$60,MATCH(B106,$A$15:$A$60,0)),INDEX($D$15:$D$60,MATCH(B106,$A$15:$A$60,0))))</f>
        <v>0</v>
      </c>
      <c r="G106" s="14">
        <f>IF(OR(Inputs!$B$44=0,$A106&lt;Inputs!$B$82),0,IF(Inputs!$B$44=1,INDEX($C$15:$C$60,MATCH(C106,$A$15:$A$60,0)),INDEX($D$15:$D$60,MATCH(C106,$A$15:$A$60,0))))</f>
        <v>93254.098692450338</v>
      </c>
      <c r="H106" s="14">
        <f t="shared" si="5"/>
        <v>1376244.5551990236</v>
      </c>
      <c r="I106" s="14">
        <f>IF(OR(Inputs!$B$44=0,$A106&lt;Inputs!$B$81),0,Inputs!$B$50*(1+Inputs!$B$5)^($A106-Inputs!$B$80))</f>
        <v>187948.80488076361</v>
      </c>
      <c r="J106" s="14">
        <f t="shared" si="6"/>
        <v>1188295.7503182599</v>
      </c>
    </row>
    <row r="107" spans="1:10" x14ac:dyDescent="0.25">
      <c r="A107" s="20">
        <v>2070</v>
      </c>
      <c r="B107">
        <f t="shared" si="3"/>
        <v>98</v>
      </c>
      <c r="C107">
        <f t="shared" si="4"/>
        <v>93</v>
      </c>
      <c r="D107" s="18">
        <f>IF($A107=Inputs!$B$80,0,IF(Inputs!$B$49=1,Inputs!$B$48,IF($A107&gt;=Inputs!$B$47,Inputs!$B$46,Inputs!$B$45-(Inputs!$B$45-Inputs!$B$46)*($A107-(Inputs!$B$80+1))/(Inputs!$B$47-(Inputs!$B$80+1)))))</f>
        <v>0.06</v>
      </c>
      <c r="E107" s="21">
        <f t="shared" si="7"/>
        <v>15.643486441514103</v>
      </c>
      <c r="F107" s="14">
        <f>IF(OR(Inputs!$B$44=0,$A107&lt;Inputs!$B$81,$A107&gt;Inputs!$B$84),0,IF(Inputs!$B$44=1,INDEX($B$15:$B$60,MATCH(B107,$A$15:$A$60,0)),INDEX($D$15:$D$60,MATCH(B107,$A$15:$A$60,0))))</f>
        <v>0</v>
      </c>
      <c r="G107" s="14">
        <f>IF(OR(Inputs!$B$44=0,$A107&lt;Inputs!$B$82),0,IF(Inputs!$B$44=1,INDEX($C$15:$C$60,MATCH(C107,$A$15:$A$60,0)),INDEX($D$15:$D$60,MATCH(C107,$A$15:$A$60,0))))</f>
        <v>96381.369400982076</v>
      </c>
      <c r="H107" s="14">
        <f t="shared" si="5"/>
        <v>1507740.6454388252</v>
      </c>
      <c r="I107" s="14">
        <f>IF(OR(Inputs!$B$44=0,$A107&lt;Inputs!$B$81),0,Inputs!$B$50*(1+Inputs!$B$5)^($A107-Inputs!$B$80))</f>
        <v>192647.52500278264</v>
      </c>
      <c r="J107" s="14">
        <f t="shared" si="6"/>
        <v>1315093.1204360425</v>
      </c>
    </row>
    <row r="108" spans="1:10" x14ac:dyDescent="0.25">
      <c r="A108" s="20">
        <v>2071</v>
      </c>
      <c r="B108">
        <f t="shared" si="3"/>
        <v>99</v>
      </c>
      <c r="C108">
        <f t="shared" si="4"/>
        <v>94</v>
      </c>
      <c r="D108" s="18">
        <f>IF($A108=Inputs!$B$80,0,IF(Inputs!$B$49=1,Inputs!$B$48,IF($A108&gt;=Inputs!$B$47,Inputs!$B$46,Inputs!$B$45-(Inputs!$B$45-Inputs!$B$46)*($A108-(Inputs!$B$80+1))/(Inputs!$B$47-(Inputs!$B$80+1)))))</f>
        <v>0.06</v>
      </c>
      <c r="E108" s="21">
        <f t="shared" si="7"/>
        <v>16.58209562800495</v>
      </c>
      <c r="F108" s="14">
        <f>IF(OR(Inputs!$B$44=0,$A108&lt;Inputs!$B$81,$A108&gt;Inputs!$B$84),0,IF(Inputs!$B$44=1,INDEX($B$15:$B$60,MATCH(B108,$A$15:$A$60,0)),INDEX($D$15:$D$60,MATCH(B108,$A$15:$A$60,0))))</f>
        <v>0</v>
      </c>
      <c r="G108" s="14">
        <f>IF(OR(Inputs!$B$44=0,$A108&lt;Inputs!$B$82),0,IF(Inputs!$B$44=1,INDEX($C$15:$C$60,MATCH(C108,$A$15:$A$60,0)),INDEX($D$15:$D$60,MATCH(C108,$A$15:$A$60,0))))</f>
        <v>99613.512948580057</v>
      </c>
      <c r="H108" s="14">
        <f t="shared" si="5"/>
        <v>1651800.7975548638</v>
      </c>
      <c r="I108" s="14">
        <f>IF(OR(Inputs!$B$44=0,$A108&lt;Inputs!$B$81),0,Inputs!$B$50*(1+Inputs!$B$5)^($A108-Inputs!$B$80))</f>
        <v>197463.71312785221</v>
      </c>
      <c r="J108" s="14">
        <f t="shared" si="6"/>
        <v>1454337.0844270117</v>
      </c>
    </row>
    <row r="109" spans="1:10" x14ac:dyDescent="0.25">
      <c r="A109" s="20">
        <v>2072</v>
      </c>
      <c r="B109">
        <f t="shared" si="3"/>
        <v>100</v>
      </c>
      <c r="C109">
        <f t="shared" si="4"/>
        <v>95</v>
      </c>
      <c r="D109" s="18">
        <f>IF($A109=Inputs!$B$80,0,IF(Inputs!$B$49=1,Inputs!$B$48,IF($A109&gt;=Inputs!$B$47,Inputs!$B$46,Inputs!$B$45-(Inputs!$B$45-Inputs!$B$46)*($A109-(Inputs!$B$80+1))/(Inputs!$B$47-(Inputs!$B$80+1)))))</f>
        <v>0.06</v>
      </c>
      <c r="E109" s="21">
        <f t="shared" si="7"/>
        <v>17.577021365685248</v>
      </c>
      <c r="F109" s="14">
        <f>IF(OR(Inputs!$B$44=0,$A109&lt;Inputs!$B$81,$A109&gt;Inputs!$B$84),0,IF(Inputs!$B$44=1,INDEX($B$15:$B$60,MATCH(B109,$A$15:$A$60,0)),INDEX($D$15:$D$60,MATCH(B109,$A$15:$A$60,0))))</f>
        <v>0</v>
      </c>
      <c r="G109" s="14">
        <f>IF(OR(Inputs!$B$44=0,$A109&lt;Inputs!$B$82),0,IF(Inputs!$B$44=1,INDEX($C$15:$C$60,MATCH(C109,$A$15:$A$60,0)),INDEX($D$15:$D$60,MATCH(C109,$A$15:$A$60,0))))</f>
        <v>102954.04623972709</v>
      </c>
      <c r="H109" s="14">
        <f t="shared" si="5"/>
        <v>1809625.4704394301</v>
      </c>
      <c r="I109" s="14">
        <f>IF(OR(Inputs!$B$44=0,$A109&lt;Inputs!$B$81),0,Inputs!$B$50*(1+Inputs!$B$5)^($A109-Inputs!$B$80))</f>
        <v>202400.30595604848</v>
      </c>
      <c r="J109" s="14">
        <f t="shared" si="6"/>
        <v>1607225.1644833817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7" customWidth="1"/>
    <col min="4" max="21" width="13" customWidth="1"/>
  </cols>
  <sheetData>
    <row r="1" spans="1:21" ht="16.5" x14ac:dyDescent="0.25">
      <c r="A1" s="1" t="s">
        <v>221</v>
      </c>
    </row>
    <row r="2" spans="1:21" x14ac:dyDescent="0.25">
      <c r="A2" s="2" t="s">
        <v>222</v>
      </c>
    </row>
    <row r="3" spans="1:21" ht="26.25" x14ac:dyDescent="0.25">
      <c r="A3" s="19" t="s">
        <v>211</v>
      </c>
      <c r="B3" s="19" t="s">
        <v>212</v>
      </c>
      <c r="C3" s="19" t="s">
        <v>213</v>
      </c>
      <c r="D3" s="19" t="s">
        <v>223</v>
      </c>
      <c r="E3" s="19" t="s">
        <v>224</v>
      </c>
      <c r="F3" s="19" t="s">
        <v>225</v>
      </c>
      <c r="G3" s="19" t="s">
        <v>226</v>
      </c>
      <c r="H3" s="19" t="s">
        <v>227</v>
      </c>
      <c r="I3" s="19" t="s">
        <v>228</v>
      </c>
      <c r="J3" s="19" t="s">
        <v>17</v>
      </c>
      <c r="K3" s="19" t="s">
        <v>229</v>
      </c>
      <c r="L3" s="19" t="s">
        <v>230</v>
      </c>
      <c r="M3" s="19" t="s">
        <v>231</v>
      </c>
      <c r="N3" s="19" t="s">
        <v>232</v>
      </c>
      <c r="O3" s="19" t="s">
        <v>233</v>
      </c>
      <c r="P3" s="19" t="s">
        <v>234</v>
      </c>
      <c r="Q3" s="19" t="s">
        <v>235</v>
      </c>
      <c r="R3" s="19" t="s">
        <v>236</v>
      </c>
      <c r="S3" s="19" t="s">
        <v>237</v>
      </c>
      <c r="T3" s="19" t="s">
        <v>238</v>
      </c>
      <c r="U3" s="19" t="s">
        <v>239</v>
      </c>
    </row>
    <row r="4" spans="1:21" x14ac:dyDescent="0.25">
      <c r="A4" s="20">
        <v>2026</v>
      </c>
      <c r="B4" s="20">
        <f t="shared" ref="B4:B50" si="0">$A4-1972</f>
        <v>54</v>
      </c>
      <c r="C4" s="20">
        <f t="shared" ref="C4:C50" si="1">$A4-1977</f>
        <v>49</v>
      </c>
      <c r="D4" s="16">
        <f>IF($A4&lt;Inputs!$B$81,(Inputs!$B$27+Inputs!$B$28)*(1+Inputs!$B$6)^($A4-Inputs!$B$80),0)</f>
        <v>1200000</v>
      </c>
      <c r="E4" s="16">
        <f>IF($A4&lt;Inputs!$B$82,Inputs!$B$29*(1+Inputs!$B$7)^($A4-Inputs!$B$80),0)</f>
        <v>720000</v>
      </c>
      <c r="F4" s="16">
        <f>(Inputs!$B$18+Inputs!$B$20+2*Inputs!$B$21)*(1+Inputs!$B$5)^($A4-Inputs!$B$80)</f>
        <v>395000</v>
      </c>
      <c r="G4" s="16">
        <f>Inputs!$B$18*(1+Inputs!$B$5)^($A4-Inputs!$B$80)</f>
        <v>145000</v>
      </c>
      <c r="H4" s="16">
        <f>IF(D4=0,0,IF(MAX(D4-Inputs!$B$22-Tax!$B$4/2-F4,0)&gt;200000,Inputs!$B$24+(MAX(D4-Inputs!$B$22-Tax!$B$4/2-F4,0)-200000)*Inputs!$B$23,IF(MAX(D4-Inputs!$B$22-Tax!$B$4/2-F4,0)&gt;150000,9000+(MAX(D4-Inputs!$B$22-Tax!$B$4/2-F4,0)-150000)*0.14,IF(MAX(D4-Inputs!$B$22-Tax!$B$4/2-F4,0)&gt;100000,4000+(MAX(D4-Inputs!$B$22-Tax!$B$4/2-F4,0)-100000)*0.1,IF(MAX(D4-Inputs!$B$22-Tax!$B$4/2-F4,0)&gt;50000,1000+(MAX(D4-Inputs!$B$22-Tax!$B$4/2-F4,0)-50000)*0.06,MAX(MAX(D4-Inputs!$B$22-Tax!$B$4/2-F4,0),0)*0.02)))))</f>
        <v>110435</v>
      </c>
      <c r="I4" s="16">
        <f>IF(E4=0,0,IF(MAX(E4-Inputs!$B$22-Tax!$B$4/2-G4,0)&gt;200000,Inputs!$B$24+(MAX(E4-Inputs!$B$22-Tax!$B$4/2-G4,0)-200000)*Inputs!$B$23,IF(MAX(E4-Inputs!$B$22-Tax!$B$4/2-G4,0)&gt;150000,9000+(MAX(E4-Inputs!$B$22-Tax!$B$4/2-G4,0)-150000)*0.14,IF(MAX(E4-Inputs!$B$22-Tax!$B$4/2-G4,0)&gt;100000,4000+(MAX(E4-Inputs!$B$22-Tax!$B$4/2-G4,0)-100000)*0.1,IF(MAX(E4-Inputs!$B$22-Tax!$B$4/2-G4,0)&gt;50000,1000+(MAX(E4-Inputs!$B$22-Tax!$B$4/2-G4,0)-50000)*0.06,MAX(MAX(E4-Inputs!$B$22-Tax!$B$4/2-G4,0),0)*0.02)))))</f>
        <v>71335</v>
      </c>
      <c r="J4" s="16">
        <f>IF(D4&gt;0,Inputs!$B$22,0)+IF(E4&gt;0,Inputs!$B$22,0)</f>
        <v>36000</v>
      </c>
      <c r="K4" s="16">
        <f>IF($A4&lt;Inputs!$B$81,Inputs!$B$31*(1+Inputs!$B$5)^($A4-Inputs!$B$80),0)</f>
        <v>984000</v>
      </c>
      <c r="L4" s="16">
        <f>IF(AND($A4&gt;=Inputs!$B$83,$A4&lt;Inputs!$B$83+Inputs!$B$41),Inputs!$B$40*(1+Inputs!$B$8)^($A4-Inputs!$B$80),0)</f>
        <v>0</v>
      </c>
      <c r="M4" s="16">
        <f>IF($A4&gt;=Inputs!$B$81,Inputs!$B$32*(1+Inputs!$B$5)^($A4-Inputs!$B$80)*IF(AND(Inputs!$B$55=1,$A4&gt;Inputs!$B$84),Inputs!$B$54,1),0)</f>
        <v>0</v>
      </c>
      <c r="N4" s="16">
        <f>INDEX(Medical!$J$63:$J$109,MATCH($A4,Medical!$A$63:$A$109,0))</f>
        <v>0</v>
      </c>
      <c r="O4" s="16">
        <f>IF($A4&gt;=Inputs!$B$81,Inputs!$B$39,0)</f>
        <v>0</v>
      </c>
      <c r="P4" s="16">
        <f>IF(AND(Inputs!$B$58=1,$A4=Inputs!$B$57),Inputs!$B$56,0)+IF(AND(Inputs!$B$61=1,$A4&gt;=Inputs!$B$60),Inputs!$B$59,0)</f>
        <v>0</v>
      </c>
      <c r="Q4" s="16">
        <f>D4+E4-H4-I4+J4-K4-L4-M4-N4+O4+P4-IF($A4&lt;Inputs!$B$81,Inputs!$B$42,0)</f>
        <v>676630</v>
      </c>
      <c r="R4" s="16">
        <f>BalanceSheet!$B$37</f>
        <v>9790000</v>
      </c>
      <c r="S4" s="16">
        <f>R4*Inputs!$B$35</f>
        <v>469920</v>
      </c>
      <c r="T4" s="16">
        <f>IF($A4=Inputs!$B$81,-Inputs!$B$38,0)</f>
        <v>0</v>
      </c>
      <c r="U4" s="16">
        <f t="shared" ref="U4:U50" si="2">MAX(R4+S4+Q4+T4,0)</f>
        <v>10936550</v>
      </c>
    </row>
    <row r="5" spans="1:21" x14ac:dyDescent="0.25">
      <c r="A5" s="20">
        <v>2027</v>
      </c>
      <c r="B5" s="20">
        <f t="shared" si="0"/>
        <v>55</v>
      </c>
      <c r="C5" s="20">
        <f t="shared" si="1"/>
        <v>50</v>
      </c>
      <c r="D5" s="16">
        <f>IF($A5&lt;Inputs!$B$81,(Inputs!$B$27+Inputs!$B$28)*(1+Inputs!$B$6)^($A5-Inputs!$B$80),0)</f>
        <v>1236000</v>
      </c>
      <c r="E5" s="16">
        <f>IF($A5&lt;Inputs!$B$82,Inputs!$B$29*(1+Inputs!$B$7)^($A5-Inputs!$B$80),0)</f>
        <v>741600</v>
      </c>
      <c r="F5" s="16">
        <f>(Inputs!$B$18+Inputs!$B$20+2*Inputs!$B$21)*(1+Inputs!$B$5)^($A5-Inputs!$B$80)</f>
        <v>404874.99999999994</v>
      </c>
      <c r="G5" s="16">
        <f>Inputs!$B$18*(1+Inputs!$B$5)^($A5-Inputs!$B$80)</f>
        <v>148625</v>
      </c>
      <c r="H5" s="16">
        <f>IF(D5=0,0,IF(MAX(D5-Inputs!$B$22-Tax!$B$4/2-F5,0)&gt;200000,Inputs!$B$24+(MAX(D5-Inputs!$B$22-Tax!$B$4/2-F5,0)-200000)*Inputs!$B$23,IF(MAX(D5-Inputs!$B$22-Tax!$B$4/2-F5,0)&gt;150000,9000+(MAX(D5-Inputs!$B$22-Tax!$B$4/2-F5,0)-150000)*0.14,IF(MAX(D5-Inputs!$B$22-Tax!$B$4/2-F5,0)&gt;100000,4000+(MAX(D5-Inputs!$B$22-Tax!$B$4/2-F5,0)-100000)*0.1,IF(MAX(D5-Inputs!$B$22-Tax!$B$4/2-F5,0)&gt;50000,1000+(MAX(D5-Inputs!$B$22-Tax!$B$4/2-F5,0)-50000)*0.06,MAX(MAX(D5-Inputs!$B$22-Tax!$B$4/2-F5,0),0)*0.02)))))</f>
        <v>114876.25</v>
      </c>
      <c r="I5" s="16">
        <f>IF(E5=0,0,IF(MAX(E5-Inputs!$B$22-Tax!$B$4/2-G5,0)&gt;200000,Inputs!$B$24+(MAX(E5-Inputs!$B$22-Tax!$B$4/2-G5,0)-200000)*Inputs!$B$23,IF(MAX(E5-Inputs!$B$22-Tax!$B$4/2-G5,0)&gt;150000,9000+(MAX(E5-Inputs!$B$22-Tax!$B$4/2-G5,0)-150000)*0.14,IF(MAX(E5-Inputs!$B$22-Tax!$B$4/2-G5,0)&gt;100000,4000+(MAX(E5-Inputs!$B$22-Tax!$B$4/2-G5,0)-100000)*0.1,IF(MAX(E5-Inputs!$B$22-Tax!$B$4/2-G5,0)&gt;50000,1000+(MAX(E5-Inputs!$B$22-Tax!$B$4/2-G5,0)-50000)*0.06,MAX(MAX(E5-Inputs!$B$22-Tax!$B$4/2-G5,0),0)*0.02)))))</f>
        <v>74390.75</v>
      </c>
      <c r="J5" s="16">
        <f>IF(D5&gt;0,Inputs!$B$22,0)+IF(E5&gt;0,Inputs!$B$22,0)</f>
        <v>36000</v>
      </c>
      <c r="K5" s="16">
        <f>IF($A5&lt;Inputs!$B$81,Inputs!$B$31*(1+Inputs!$B$5)^($A5-Inputs!$B$80),0)</f>
        <v>1008599.9999999999</v>
      </c>
      <c r="L5" s="16">
        <f>IF(AND($A5&gt;=Inputs!$B$83,$A5&lt;Inputs!$B$83+Inputs!$B$41),Inputs!$B$40*(1+Inputs!$B$8)^($A5-Inputs!$B$80),0)</f>
        <v>0</v>
      </c>
      <c r="M5" s="16">
        <f>IF($A5&gt;=Inputs!$B$81,Inputs!$B$32*(1+Inputs!$B$5)^($A5-Inputs!$B$80)*IF(AND(Inputs!$B$55=1,$A5&gt;Inputs!$B$84),Inputs!$B$54,1),0)</f>
        <v>0</v>
      </c>
      <c r="N5" s="16">
        <f>INDEX(Medical!$J$63:$J$109,MATCH($A5,Medical!$A$63:$A$109,0))</f>
        <v>0</v>
      </c>
      <c r="O5" s="16">
        <f>IF($A5&gt;=Inputs!$B$81,Inputs!$B$39,0)</f>
        <v>0</v>
      </c>
      <c r="P5" s="16">
        <f>IF(AND(Inputs!$B$58=1,$A5=Inputs!$B$57),Inputs!$B$56,0)+IF(AND(Inputs!$B$61=1,$A5&gt;=Inputs!$B$60),Inputs!$B$59,0)</f>
        <v>0</v>
      </c>
      <c r="Q5" s="16">
        <f>D5+E5-H5-I5+J5-K5-L5-M5-N5+O5+P5-IF($A5&lt;Inputs!$B$81,Inputs!$B$42,0)</f>
        <v>702133.00000000012</v>
      </c>
      <c r="R5" s="16">
        <f t="shared" ref="R5:R50" si="3">U4</f>
        <v>10936550</v>
      </c>
      <c r="S5" s="16">
        <f>R5*Inputs!$B$35</f>
        <v>524954.4</v>
      </c>
      <c r="T5" s="16">
        <f>IF($A5=Inputs!$B$81,-Inputs!$B$38,0)</f>
        <v>0</v>
      </c>
      <c r="U5" s="16">
        <f t="shared" si="2"/>
        <v>12163637.4</v>
      </c>
    </row>
    <row r="6" spans="1:21" x14ac:dyDescent="0.25">
      <c r="A6" s="20">
        <v>2028</v>
      </c>
      <c r="B6" s="20">
        <f t="shared" si="0"/>
        <v>56</v>
      </c>
      <c r="C6" s="20">
        <f t="shared" si="1"/>
        <v>51</v>
      </c>
      <c r="D6" s="16">
        <f>IF($A6&lt;Inputs!$B$81,(Inputs!$B$27+Inputs!$B$28)*(1+Inputs!$B$6)^($A6-Inputs!$B$80),0)</f>
        <v>1273080</v>
      </c>
      <c r="E6" s="16">
        <f>IF($A6&lt;Inputs!$B$82,Inputs!$B$29*(1+Inputs!$B$7)^($A6-Inputs!$B$80),0)</f>
        <v>763848</v>
      </c>
      <c r="F6" s="16">
        <f>(Inputs!$B$18+Inputs!$B$20+2*Inputs!$B$21)*(1+Inputs!$B$5)^($A6-Inputs!$B$80)</f>
        <v>414996.87499999994</v>
      </c>
      <c r="G6" s="16">
        <f>Inputs!$B$18*(1+Inputs!$B$5)^($A6-Inputs!$B$80)</f>
        <v>152340.625</v>
      </c>
      <c r="H6" s="16">
        <f>IF(D6=0,0,IF(MAX(D6-Inputs!$B$22-Tax!$B$4/2-F6,0)&gt;200000,Inputs!$B$24+(MAX(D6-Inputs!$B$22-Tax!$B$4/2-F6,0)-200000)*Inputs!$B$23,IF(MAX(D6-Inputs!$B$22-Tax!$B$4/2-F6,0)&gt;150000,9000+(MAX(D6-Inputs!$B$22-Tax!$B$4/2-F6,0)-150000)*0.14,IF(MAX(D6-Inputs!$B$22-Tax!$B$4/2-F6,0)&gt;100000,4000+(MAX(D6-Inputs!$B$22-Tax!$B$4/2-F6,0)-100000)*0.1,IF(MAX(D6-Inputs!$B$22-Tax!$B$4/2-F6,0)&gt;50000,1000+(MAX(D6-Inputs!$B$22-Tax!$B$4/2-F6,0)-50000)*0.06,MAX(MAX(D6-Inputs!$B$22-Tax!$B$4/2-F6,0),0)*0.02)))))</f>
        <v>119459.13125000001</v>
      </c>
      <c r="I6" s="16">
        <f>IF(E6=0,0,IF(MAX(E6-Inputs!$B$22-Tax!$B$4/2-G6,0)&gt;200000,Inputs!$B$24+(MAX(E6-Inputs!$B$22-Tax!$B$4/2-G6,0)-200000)*Inputs!$B$23,IF(MAX(E6-Inputs!$B$22-Tax!$B$4/2-G6,0)&gt;150000,9000+(MAX(E6-Inputs!$B$22-Tax!$B$4/2-G6,0)-150000)*0.14,IF(MAX(E6-Inputs!$B$22-Tax!$B$4/2-G6,0)&gt;100000,4000+(MAX(E6-Inputs!$B$22-Tax!$B$4/2-G6,0)-100000)*0.1,IF(MAX(E6-Inputs!$B$22-Tax!$B$4/2-G6,0)&gt;50000,1000+(MAX(E6-Inputs!$B$22-Tax!$B$4/2-G6,0)-50000)*0.06,MAX(MAX(E6-Inputs!$B$22-Tax!$B$4/2-G6,0),0)*0.02)))))</f>
        <v>77541.253750000003</v>
      </c>
      <c r="J6" s="16">
        <f>IF(D6&gt;0,Inputs!$B$22,0)+IF(E6&gt;0,Inputs!$B$22,0)</f>
        <v>36000</v>
      </c>
      <c r="K6" s="16">
        <f>IF($A6&lt;Inputs!$B$81,Inputs!$B$31*(1+Inputs!$B$5)^($A6-Inputs!$B$80),0)</f>
        <v>1033814.9999999999</v>
      </c>
      <c r="L6" s="16">
        <f>IF(AND($A6&gt;=Inputs!$B$83,$A6&lt;Inputs!$B$83+Inputs!$B$41),Inputs!$B$40*(1+Inputs!$B$8)^($A6-Inputs!$B$80),0)</f>
        <v>661500</v>
      </c>
      <c r="M6" s="16">
        <f>IF($A6&gt;=Inputs!$B$81,Inputs!$B$32*(1+Inputs!$B$5)^($A6-Inputs!$B$80)*IF(AND(Inputs!$B$55=1,$A6&gt;Inputs!$B$84),Inputs!$B$54,1),0)</f>
        <v>0</v>
      </c>
      <c r="N6" s="16">
        <f>INDEX(Medical!$J$63:$J$109,MATCH($A6,Medical!$A$63:$A$109,0))</f>
        <v>0</v>
      </c>
      <c r="O6" s="16">
        <f>IF($A6&gt;=Inputs!$B$81,Inputs!$B$39,0)</f>
        <v>0</v>
      </c>
      <c r="P6" s="16">
        <f>IF(AND(Inputs!$B$58=1,$A6=Inputs!$B$57),Inputs!$B$56,0)+IF(AND(Inputs!$B$61=1,$A6&gt;=Inputs!$B$60),Inputs!$B$59,0)</f>
        <v>0</v>
      </c>
      <c r="Q6" s="16">
        <f>D6+E6-H6-I6+J6-K6-L6-M6-N6+O6+P6-IF($A6&lt;Inputs!$B$81,Inputs!$B$42,0)</f>
        <v>67012.615000000107</v>
      </c>
      <c r="R6" s="16">
        <f t="shared" si="3"/>
        <v>12163637.4</v>
      </c>
      <c r="S6" s="16">
        <f>R6*Inputs!$B$35</f>
        <v>583854.59519999998</v>
      </c>
      <c r="T6" s="16">
        <f>IF($A6=Inputs!$B$81,-Inputs!$B$38,0)</f>
        <v>0</v>
      </c>
      <c r="U6" s="16">
        <f t="shared" si="2"/>
        <v>12814504.610200001</v>
      </c>
    </row>
    <row r="7" spans="1:21" x14ac:dyDescent="0.25">
      <c r="A7" s="20">
        <v>2029</v>
      </c>
      <c r="B7" s="20">
        <f t="shared" si="0"/>
        <v>57</v>
      </c>
      <c r="C7" s="20">
        <f t="shared" si="1"/>
        <v>52</v>
      </c>
      <c r="D7" s="16">
        <f>IF($A7&lt;Inputs!$B$81,(Inputs!$B$27+Inputs!$B$28)*(1+Inputs!$B$6)^($A7-Inputs!$B$80),0)</f>
        <v>1311272.3999999999</v>
      </c>
      <c r="E7" s="16">
        <f>IF($A7&lt;Inputs!$B$82,Inputs!$B$29*(1+Inputs!$B$7)^($A7-Inputs!$B$80),0)</f>
        <v>786763.44000000006</v>
      </c>
      <c r="F7" s="16">
        <f>(Inputs!$B$18+Inputs!$B$20+2*Inputs!$B$21)*(1+Inputs!$B$5)^($A7-Inputs!$B$80)</f>
        <v>425371.79687499994</v>
      </c>
      <c r="G7" s="16">
        <f>Inputs!$B$18*(1+Inputs!$B$5)^($A7-Inputs!$B$80)</f>
        <v>156149.14062499997</v>
      </c>
      <c r="H7" s="16">
        <f>IF(D7=0,0,IF(MAX(D7-Inputs!$B$22-Tax!$B$4/2-F7,0)&gt;200000,Inputs!$B$24+(MAX(D7-Inputs!$B$22-Tax!$B$4/2-F7,0)-200000)*Inputs!$B$23,IF(MAX(D7-Inputs!$B$22-Tax!$B$4/2-F7,0)&gt;150000,9000+(MAX(D7-Inputs!$B$22-Tax!$B$4/2-F7,0)-150000)*0.14,IF(MAX(D7-Inputs!$B$22-Tax!$B$4/2-F7,0)&gt;100000,4000+(MAX(D7-Inputs!$B$22-Tax!$B$4/2-F7,0)-100000)*0.1,IF(MAX(D7-Inputs!$B$22-Tax!$B$4/2-F7,0)&gt;50000,1000+(MAX(D7-Inputs!$B$22-Tax!$B$4/2-F7,0)-50000)*0.06,MAX(MAX(D7-Inputs!$B$22-Tax!$B$4/2-F7,0),0)*0.02)))))</f>
        <v>124188.10253125</v>
      </c>
      <c r="I7" s="16">
        <f>IF(E7=0,0,IF(MAX(E7-Inputs!$B$22-Tax!$B$4/2-G7,0)&gt;200000,Inputs!$B$24+(MAX(E7-Inputs!$B$22-Tax!$B$4/2-G7,0)-200000)*Inputs!$B$23,IF(MAX(E7-Inputs!$B$22-Tax!$B$4/2-G7,0)&gt;150000,9000+(MAX(E7-Inputs!$B$22-Tax!$B$4/2-G7,0)-150000)*0.14,IF(MAX(E7-Inputs!$B$22-Tax!$B$4/2-G7,0)&gt;100000,4000+(MAX(E7-Inputs!$B$22-Tax!$B$4/2-G7,0)-100000)*0.1,IF(MAX(E7-Inputs!$B$22-Tax!$B$4/2-G7,0)&gt;50000,1000+(MAX(E7-Inputs!$B$22-Tax!$B$4/2-G7,0)-50000)*0.06,MAX(MAX(E7-Inputs!$B$22-Tax!$B$4/2-G7,0),0)*0.02)))))</f>
        <v>80789.430893750017</v>
      </c>
      <c r="J7" s="16">
        <f>IF(D7&gt;0,Inputs!$B$22,0)+IF(E7&gt;0,Inputs!$B$22,0)</f>
        <v>36000</v>
      </c>
      <c r="K7" s="16">
        <f>IF($A7&lt;Inputs!$B$81,Inputs!$B$31*(1+Inputs!$B$5)^($A7-Inputs!$B$80),0)</f>
        <v>1059660.3749999998</v>
      </c>
      <c r="L7" s="16">
        <f>IF(AND($A7&gt;=Inputs!$B$83,$A7&lt;Inputs!$B$83+Inputs!$B$41),Inputs!$B$40*(1+Inputs!$B$8)^($A7-Inputs!$B$80),0)</f>
        <v>694575.00000000012</v>
      </c>
      <c r="M7" s="16">
        <f>IF($A7&gt;=Inputs!$B$81,Inputs!$B$32*(1+Inputs!$B$5)^($A7-Inputs!$B$80)*IF(AND(Inputs!$B$55=1,$A7&gt;Inputs!$B$84),Inputs!$B$54,1),0)</f>
        <v>0</v>
      </c>
      <c r="N7" s="16">
        <f>INDEX(Medical!$J$63:$J$109,MATCH($A7,Medical!$A$63:$A$109,0))</f>
        <v>0</v>
      </c>
      <c r="O7" s="16">
        <f>IF($A7&gt;=Inputs!$B$81,Inputs!$B$39,0)</f>
        <v>0</v>
      </c>
      <c r="P7" s="16">
        <f>IF(AND(Inputs!$B$58=1,$A7=Inputs!$B$57),Inputs!$B$56,0)+IF(AND(Inputs!$B$61=1,$A7&gt;=Inputs!$B$60),Inputs!$B$59,0)</f>
        <v>0</v>
      </c>
      <c r="Q7" s="16">
        <f>D7+E7-H7-I7+J7-K7-L7-M7-N7+O7+P7-IF($A7&lt;Inputs!$B$81,Inputs!$B$42,0)</f>
        <v>61222.931574999937</v>
      </c>
      <c r="R7" s="16">
        <f t="shared" si="3"/>
        <v>12814504.610200001</v>
      </c>
      <c r="S7" s="16">
        <f>R7*Inputs!$B$35</f>
        <v>615096.22128960001</v>
      </c>
      <c r="T7" s="16">
        <f>IF($A7=Inputs!$B$81,-Inputs!$B$38,0)</f>
        <v>0</v>
      </c>
      <c r="U7" s="16">
        <f t="shared" si="2"/>
        <v>13490823.763064601</v>
      </c>
    </row>
    <row r="8" spans="1:21" x14ac:dyDescent="0.25">
      <c r="A8" s="20">
        <v>2030</v>
      </c>
      <c r="B8" s="20">
        <f t="shared" si="0"/>
        <v>58</v>
      </c>
      <c r="C8" s="20">
        <f t="shared" si="1"/>
        <v>53</v>
      </c>
      <c r="D8" s="16">
        <f>IF($A8&lt;Inputs!$B$81,(Inputs!$B$27+Inputs!$B$28)*(1+Inputs!$B$6)^($A8-Inputs!$B$80),0)</f>
        <v>1350610.5719999999</v>
      </c>
      <c r="E8" s="16">
        <f>IF($A8&lt;Inputs!$B$82,Inputs!$B$29*(1+Inputs!$B$7)^($A8-Inputs!$B$80),0)</f>
        <v>810366.34319999989</v>
      </c>
      <c r="F8" s="16">
        <f>(Inputs!$B$18+Inputs!$B$20+2*Inputs!$B$21)*(1+Inputs!$B$5)^($A8-Inputs!$B$80)</f>
        <v>436006.09179687488</v>
      </c>
      <c r="G8" s="16">
        <f>Inputs!$B$18*(1+Inputs!$B$5)^($A8-Inputs!$B$80)</f>
        <v>160052.86914062497</v>
      </c>
      <c r="H8" s="16">
        <f>IF(D8=0,0,IF(MAX(D8-Inputs!$B$22-Tax!$B$4/2-F8,0)&gt;200000,Inputs!$B$24+(MAX(D8-Inputs!$B$22-Tax!$B$4/2-F8,0)-200000)*Inputs!$B$23,IF(MAX(D8-Inputs!$B$22-Tax!$B$4/2-F8,0)&gt;150000,9000+(MAX(D8-Inputs!$B$22-Tax!$B$4/2-F8,0)-150000)*0.14,IF(MAX(D8-Inputs!$B$22-Tax!$B$4/2-F8,0)&gt;100000,4000+(MAX(D8-Inputs!$B$22-Tax!$B$4/2-F8,0)-100000)*0.1,IF(MAX(D8-Inputs!$B$22-Tax!$B$4/2-F8,0)&gt;50000,1000+(MAX(D8-Inputs!$B$22-Tax!$B$4/2-F8,0)-50000)*0.06,MAX(MAX(D8-Inputs!$B$22-Tax!$B$4/2-F8,0),0)*0.02)))))</f>
        <v>129067.76163453127</v>
      </c>
      <c r="I8" s="16">
        <f>IF(E8=0,0,IF(MAX(E8-Inputs!$B$22-Tax!$B$4/2-G8,0)&gt;200000,Inputs!$B$24+(MAX(E8-Inputs!$B$22-Tax!$B$4/2-G8,0)-200000)*Inputs!$B$23,IF(MAX(E8-Inputs!$B$22-Tax!$B$4/2-G8,0)&gt;150000,9000+(MAX(E8-Inputs!$B$22-Tax!$B$4/2-G8,0)-150000)*0.14,IF(MAX(E8-Inputs!$B$22-Tax!$B$4/2-G8,0)&gt;100000,4000+(MAX(E8-Inputs!$B$22-Tax!$B$4/2-G8,0)-100000)*0.1,IF(MAX(E8-Inputs!$B$22-Tax!$B$4/2-G8,0)&gt;50000,1000+(MAX(E8-Inputs!$B$22-Tax!$B$4/2-G8,0)-50000)*0.06,MAX(MAX(E8-Inputs!$B$22-Tax!$B$4/2-G8,0),0)*0.02)))))</f>
        <v>84138.290590093733</v>
      </c>
      <c r="J8" s="16">
        <f>IF(D8&gt;0,Inputs!$B$22,0)+IF(E8&gt;0,Inputs!$B$22,0)</f>
        <v>36000</v>
      </c>
      <c r="K8" s="16">
        <f>IF($A8&lt;Inputs!$B$81,Inputs!$B$31*(1+Inputs!$B$5)^($A8-Inputs!$B$80),0)</f>
        <v>1086151.8843749997</v>
      </c>
      <c r="L8" s="16">
        <f>IF(AND($A8&gt;=Inputs!$B$83,$A8&lt;Inputs!$B$83+Inputs!$B$41),Inputs!$B$40*(1+Inputs!$B$8)^($A8-Inputs!$B$80),0)</f>
        <v>729303.75</v>
      </c>
      <c r="M8" s="16">
        <f>IF($A8&gt;=Inputs!$B$81,Inputs!$B$32*(1+Inputs!$B$5)^($A8-Inputs!$B$80)*IF(AND(Inputs!$B$55=1,$A8&gt;Inputs!$B$84),Inputs!$B$54,1),0)</f>
        <v>0</v>
      </c>
      <c r="N8" s="16">
        <f>INDEX(Medical!$J$63:$J$109,MATCH($A8,Medical!$A$63:$A$109,0))</f>
        <v>0</v>
      </c>
      <c r="O8" s="16">
        <f>IF($A8&gt;=Inputs!$B$81,Inputs!$B$39,0)</f>
        <v>0</v>
      </c>
      <c r="P8" s="16">
        <f>IF(AND(Inputs!$B$58=1,$A8=Inputs!$B$57),Inputs!$B$56,0)+IF(AND(Inputs!$B$61=1,$A8&gt;=Inputs!$B$60),Inputs!$B$59,0)</f>
        <v>0</v>
      </c>
      <c r="Q8" s="16">
        <f>D8+E8-H8-I8+J8-K8-L8-M8-N8+O8+P8-IF($A8&lt;Inputs!$B$81,Inputs!$B$42,0)</f>
        <v>54715.228600375121</v>
      </c>
      <c r="R8" s="16">
        <f t="shared" si="3"/>
        <v>13490823.763064601</v>
      </c>
      <c r="S8" s="16">
        <f>R8*Inputs!$B$35</f>
        <v>647559.54062710085</v>
      </c>
      <c r="T8" s="16">
        <f>IF($A8=Inputs!$B$81,-Inputs!$B$38,0)</f>
        <v>0</v>
      </c>
      <c r="U8" s="16">
        <f t="shared" si="2"/>
        <v>14193098.532292077</v>
      </c>
    </row>
    <row r="9" spans="1:21" x14ac:dyDescent="0.25">
      <c r="A9" s="20">
        <v>2031</v>
      </c>
      <c r="B9" s="20">
        <f t="shared" si="0"/>
        <v>59</v>
      </c>
      <c r="C9" s="20">
        <f t="shared" si="1"/>
        <v>54</v>
      </c>
      <c r="D9" s="16">
        <f>IF($A9&lt;Inputs!$B$81,(Inputs!$B$27+Inputs!$B$28)*(1+Inputs!$B$6)^($A9-Inputs!$B$80),0)</f>
        <v>1391128.8891599998</v>
      </c>
      <c r="E9" s="16">
        <f>IF($A9&lt;Inputs!$B$82,Inputs!$B$29*(1+Inputs!$B$7)^($A9-Inputs!$B$80),0)</f>
        <v>834677.33349599992</v>
      </c>
      <c r="F9" s="16">
        <f>(Inputs!$B$18+Inputs!$B$20+2*Inputs!$B$21)*(1+Inputs!$B$5)^($A9-Inputs!$B$80)</f>
        <v>446906.24409179675</v>
      </c>
      <c r="G9" s="16">
        <f>Inputs!$B$18*(1+Inputs!$B$5)^($A9-Inputs!$B$80)</f>
        <v>164054.19086914058</v>
      </c>
      <c r="H9" s="16">
        <f>IF(D9=0,0,IF(MAX(D9-Inputs!$B$22-Tax!$B$4/2-F9,0)&gt;200000,Inputs!$B$24+(MAX(D9-Inputs!$B$22-Tax!$B$4/2-F9,0)-200000)*Inputs!$B$23,IF(MAX(D9-Inputs!$B$22-Tax!$B$4/2-F9,0)&gt;150000,9000+(MAX(D9-Inputs!$B$22-Tax!$B$4/2-F9,0)-150000)*0.14,IF(MAX(D9-Inputs!$B$22-Tax!$B$4/2-F9,0)&gt;100000,4000+(MAX(D9-Inputs!$B$22-Tax!$B$4/2-F9,0)-100000)*0.1,IF(MAX(D9-Inputs!$B$22-Tax!$B$4/2-F9,0)&gt;50000,1000+(MAX(D9-Inputs!$B$22-Tax!$B$4/2-F9,0)-50000)*0.06,MAX(MAX(D9-Inputs!$B$22-Tax!$B$4/2-F9,0),0)*0.02)))))</f>
        <v>134102.84966159455</v>
      </c>
      <c r="I9" s="16">
        <f>IF(E9=0,0,IF(MAX(E9-Inputs!$B$22-Tax!$B$4/2-G9,0)&gt;200000,Inputs!$B$24+(MAX(E9-Inputs!$B$22-Tax!$B$4/2-G9,0)-200000)*Inputs!$B$23,IF(MAX(E9-Inputs!$B$22-Tax!$B$4/2-G9,0)&gt;150000,9000+(MAX(E9-Inputs!$B$22-Tax!$B$4/2-G9,0)-150000)*0.14,IF(MAX(E9-Inputs!$B$22-Tax!$B$4/2-G9,0)&gt;100000,4000+(MAX(E9-Inputs!$B$22-Tax!$B$4/2-G9,0)-100000)*0.1,IF(MAX(E9-Inputs!$B$22-Tax!$B$4/2-G9,0)&gt;50000,1000+(MAX(E9-Inputs!$B$22-Tax!$B$4/2-G9,0)-50000)*0.06,MAX(MAX(E9-Inputs!$B$22-Tax!$B$4/2-G9,0),0)*0.02)))))</f>
        <v>87590.934246566103</v>
      </c>
      <c r="J9" s="16">
        <f>IF(D9&gt;0,Inputs!$B$22,0)+IF(E9&gt;0,Inputs!$B$22,0)</f>
        <v>36000</v>
      </c>
      <c r="K9" s="16">
        <f>IF($A9&lt;Inputs!$B$81,Inputs!$B$31*(1+Inputs!$B$5)^($A9-Inputs!$B$80),0)</f>
        <v>1113305.6814843747</v>
      </c>
      <c r="L9" s="16">
        <f>IF(AND($A9&gt;=Inputs!$B$83,$A9&lt;Inputs!$B$83+Inputs!$B$41),Inputs!$B$40*(1+Inputs!$B$8)^($A9-Inputs!$B$80),0)</f>
        <v>765768.93750000012</v>
      </c>
      <c r="M9" s="16">
        <f>IF($A9&gt;=Inputs!$B$81,Inputs!$B$32*(1+Inputs!$B$5)^($A9-Inputs!$B$80)*IF(AND(Inputs!$B$55=1,$A9&gt;Inputs!$B$84),Inputs!$B$54,1),0)</f>
        <v>0</v>
      </c>
      <c r="N9" s="16">
        <f>INDEX(Medical!$J$63:$J$109,MATCH($A9,Medical!$A$63:$A$109,0))</f>
        <v>0</v>
      </c>
      <c r="O9" s="16">
        <f>IF($A9&gt;=Inputs!$B$81,Inputs!$B$39,0)</f>
        <v>0</v>
      </c>
      <c r="P9" s="16">
        <f>IF(AND(Inputs!$B$58=1,$A9=Inputs!$B$57),Inputs!$B$56,0)+IF(AND(Inputs!$B$61=1,$A9&gt;=Inputs!$B$60),Inputs!$B$59,0)</f>
        <v>0</v>
      </c>
      <c r="Q9" s="16">
        <f>D9+E9-H9-I9+J9-K9-L9-M9-N9+O9+P9-IF($A9&lt;Inputs!$B$81,Inputs!$B$42,0)</f>
        <v>47437.819763464038</v>
      </c>
      <c r="R9" s="16">
        <f t="shared" si="3"/>
        <v>14193098.532292077</v>
      </c>
      <c r="S9" s="16">
        <f>R9*Inputs!$B$35</f>
        <v>681268.72955001972</v>
      </c>
      <c r="T9" s="16">
        <f>IF($A9=Inputs!$B$81,-Inputs!$B$38,0)</f>
        <v>0</v>
      </c>
      <c r="U9" s="16">
        <f t="shared" si="2"/>
        <v>14921805.081605561</v>
      </c>
    </row>
    <row r="10" spans="1:21" x14ac:dyDescent="0.25">
      <c r="A10" s="20">
        <v>2032</v>
      </c>
      <c r="B10" s="20">
        <f t="shared" si="0"/>
        <v>60</v>
      </c>
      <c r="C10" s="20">
        <f t="shared" si="1"/>
        <v>55</v>
      </c>
      <c r="D10" s="16">
        <f>IF($A10&lt;Inputs!$B$81,(Inputs!$B$27+Inputs!$B$28)*(1+Inputs!$B$6)^($A10-Inputs!$B$80),0)</f>
        <v>1432862.7558348</v>
      </c>
      <c r="E10" s="16">
        <f>IF($A10&lt;Inputs!$B$82,Inputs!$B$29*(1+Inputs!$B$7)^($A10-Inputs!$B$80),0)</f>
        <v>859717.65350087988</v>
      </c>
      <c r="F10" s="16">
        <f>(Inputs!$B$18+Inputs!$B$20+2*Inputs!$B$21)*(1+Inputs!$B$5)^($A10-Inputs!$B$80)</f>
        <v>458078.90019409161</v>
      </c>
      <c r="G10" s="16">
        <f>Inputs!$B$18*(1+Inputs!$B$5)^($A10-Inputs!$B$80)</f>
        <v>168155.54564086907</v>
      </c>
      <c r="H10" s="16">
        <f>IF(D10=0,0,IF(MAX(D10-Inputs!$B$22-Tax!$B$4/2-F10,0)&gt;200000,Inputs!$B$24+(MAX(D10-Inputs!$B$22-Tax!$B$4/2-F10,0)-200000)*Inputs!$B$23,IF(MAX(D10-Inputs!$B$22-Tax!$B$4/2-F10,0)&gt;150000,9000+(MAX(D10-Inputs!$B$22-Tax!$B$4/2-F10,0)-150000)*0.14,IF(MAX(D10-Inputs!$B$22-Tax!$B$4/2-F10,0)&gt;100000,4000+(MAX(D10-Inputs!$B$22-Tax!$B$4/2-F10,0)-100000)*0.1,IF(MAX(D10-Inputs!$B$22-Tax!$B$4/2-F10,0)&gt;50000,1000+(MAX(D10-Inputs!$B$22-Tax!$B$4/2-F10,0)-50000)*0.06,MAX(MAX(D10-Inputs!$B$22-Tax!$B$4/2-F10,0),0)*0.02)))))</f>
        <v>139298.25545892044</v>
      </c>
      <c r="I10" s="16">
        <f>IF(E10=0,0,IF(MAX(E10-Inputs!$B$22-Tax!$B$4/2-G10,0)&gt;200000,Inputs!$B$24+(MAX(E10-Inputs!$B$22-Tax!$B$4/2-G10,0)-200000)*Inputs!$B$23,IF(MAX(E10-Inputs!$B$22-Tax!$B$4/2-G10,0)&gt;150000,9000+(MAX(E10-Inputs!$B$22-Tax!$B$4/2-G10,0)-150000)*0.14,IF(MAX(E10-Inputs!$B$22-Tax!$B$4/2-G10,0)&gt;100000,4000+(MAX(E10-Inputs!$B$22-Tax!$B$4/2-G10,0)-100000)*0.1,IF(MAX(E10-Inputs!$B$22-Tax!$B$4/2-G10,0)&gt;50000,1000+(MAX(E10-Inputs!$B$22-Tax!$B$4/2-G10,0)-50000)*0.06,MAX(MAX(E10-Inputs!$B$22-Tax!$B$4/2-G10,0),0)*0.02)))))</f>
        <v>91150.558336201837</v>
      </c>
      <c r="J10" s="16">
        <f>IF(D10&gt;0,Inputs!$B$22,0)+IF(E10&gt;0,Inputs!$B$22,0)</f>
        <v>36000</v>
      </c>
      <c r="K10" s="16">
        <f>IF($A10&lt;Inputs!$B$81,Inputs!$B$31*(1+Inputs!$B$5)^($A10-Inputs!$B$80),0)</f>
        <v>1141138.3235214839</v>
      </c>
      <c r="L10" s="16">
        <f>IF(AND($A10&gt;=Inputs!$B$83,$A10&lt;Inputs!$B$83+Inputs!$B$41),Inputs!$B$40*(1+Inputs!$B$8)^($A10-Inputs!$B$80),0)</f>
        <v>0</v>
      </c>
      <c r="M10" s="16">
        <f>IF($A10&gt;=Inputs!$B$81,Inputs!$B$32*(1+Inputs!$B$5)^($A10-Inputs!$B$80)*IF(AND(Inputs!$B$55=1,$A10&gt;Inputs!$B$84),Inputs!$B$54,1),0)</f>
        <v>0</v>
      </c>
      <c r="N10" s="16">
        <f>INDEX(Medical!$J$63:$J$109,MATCH($A10,Medical!$A$63:$A$109,0))</f>
        <v>0</v>
      </c>
      <c r="O10" s="16">
        <f>IF($A10&gt;=Inputs!$B$81,Inputs!$B$39,0)</f>
        <v>0</v>
      </c>
      <c r="P10" s="16">
        <f>IF(AND(Inputs!$B$58=1,$A10=Inputs!$B$57),Inputs!$B$56,0)+IF(AND(Inputs!$B$61=1,$A10&gt;=Inputs!$B$60),Inputs!$B$59,0)</f>
        <v>0</v>
      </c>
      <c r="Q10" s="16">
        <f>D10+E10-H10-I10+J10-K10-L10-M10-N10+O10+P10-IF($A10&lt;Inputs!$B$81,Inputs!$B$42,0)</f>
        <v>843393.27201907407</v>
      </c>
      <c r="R10" s="16">
        <f t="shared" si="3"/>
        <v>14921805.081605561</v>
      </c>
      <c r="S10" s="16">
        <f>R10*Inputs!$B$35</f>
        <v>716246.64391706698</v>
      </c>
      <c r="T10" s="16">
        <f>IF($A10=Inputs!$B$81,-Inputs!$B$38,0)</f>
        <v>0</v>
      </c>
      <c r="U10" s="16">
        <f t="shared" si="2"/>
        <v>16481444.997541701</v>
      </c>
    </row>
    <row r="11" spans="1:21" x14ac:dyDescent="0.25">
      <c r="A11" s="20">
        <v>2033</v>
      </c>
      <c r="B11" s="20">
        <f t="shared" si="0"/>
        <v>61</v>
      </c>
      <c r="C11" s="20">
        <f t="shared" si="1"/>
        <v>56</v>
      </c>
      <c r="D11" s="16">
        <f>IF($A11&lt;Inputs!$B$81,(Inputs!$B$27+Inputs!$B$28)*(1+Inputs!$B$6)^($A11-Inputs!$B$80),0)</f>
        <v>1475848.638509844</v>
      </c>
      <c r="E11" s="16">
        <f>IF($A11&lt;Inputs!$B$82,Inputs!$B$29*(1+Inputs!$B$7)^($A11-Inputs!$B$80),0)</f>
        <v>885509.18310590636</v>
      </c>
      <c r="F11" s="16">
        <f>(Inputs!$B$18+Inputs!$B$20+2*Inputs!$B$21)*(1+Inputs!$B$5)^($A11-Inputs!$B$80)</f>
        <v>469530.87269894395</v>
      </c>
      <c r="G11" s="16">
        <f>Inputs!$B$18*(1+Inputs!$B$5)^($A11-Inputs!$B$80)</f>
        <v>172359.4342818908</v>
      </c>
      <c r="H11" s="16">
        <f>IF(D11=0,0,IF(MAX(D11-Inputs!$B$22-Tax!$B$4/2-F11,0)&gt;200000,Inputs!$B$24+(MAX(D11-Inputs!$B$22-Tax!$B$4/2-F11,0)-200000)*Inputs!$B$23,IF(MAX(D11-Inputs!$B$22-Tax!$B$4/2-F11,0)&gt;150000,9000+(MAX(D11-Inputs!$B$22-Tax!$B$4/2-F11,0)-150000)*0.14,IF(MAX(D11-Inputs!$B$22-Tax!$B$4/2-F11,0)&gt;100000,4000+(MAX(D11-Inputs!$B$22-Tax!$B$4/2-F11,0)-100000)*0.1,IF(MAX(D11-Inputs!$B$22-Tax!$B$4/2-F11,0)&gt;50000,1000+(MAX(D11-Inputs!$B$22-Tax!$B$4/2-F11,0)-50000)*0.06,MAX(MAX(D11-Inputs!$B$22-Tax!$B$4/2-F11,0),0)*0.02)))))</f>
        <v>144659.02018785302</v>
      </c>
      <c r="I11" s="16">
        <f>IF(E11=0,0,IF(MAX(E11-Inputs!$B$22-Tax!$B$4/2-G11,0)&gt;200000,Inputs!$B$24+(MAX(E11-Inputs!$B$22-Tax!$B$4/2-G11,0)-200000)*Inputs!$B$23,IF(MAX(E11-Inputs!$B$22-Tax!$B$4/2-G11,0)&gt;150000,9000+(MAX(E11-Inputs!$B$22-Tax!$B$4/2-G11,0)-150000)*0.14,IF(MAX(E11-Inputs!$B$22-Tax!$B$4/2-G11,0)&gt;100000,4000+(MAX(E11-Inputs!$B$22-Tax!$B$4/2-G11,0)-100000)*0.1,IF(MAX(E11-Inputs!$B$22-Tax!$B$4/2-G11,0)&gt;50000,1000+(MAX(E11-Inputs!$B$22-Tax!$B$4/2-G11,0)-50000)*0.06,MAX(MAX(E11-Inputs!$B$22-Tax!$B$4/2-G11,0),0)*0.02)))))</f>
        <v>94820.457300082635</v>
      </c>
      <c r="J11" s="16">
        <f>IF(D11&gt;0,Inputs!$B$22,0)+IF(E11&gt;0,Inputs!$B$22,0)</f>
        <v>36000</v>
      </c>
      <c r="K11" s="16">
        <f>IF($A11&lt;Inputs!$B$81,Inputs!$B$31*(1+Inputs!$B$5)^($A11-Inputs!$B$80),0)</f>
        <v>1169666.781609521</v>
      </c>
      <c r="L11" s="16">
        <f>IF(AND($A11&gt;=Inputs!$B$83,$A11&lt;Inputs!$B$83+Inputs!$B$41),Inputs!$B$40*(1+Inputs!$B$8)^($A11-Inputs!$B$80),0)</f>
        <v>0</v>
      </c>
      <c r="M11" s="16">
        <f>IF($A11&gt;=Inputs!$B$81,Inputs!$B$32*(1+Inputs!$B$5)^($A11-Inputs!$B$80)*IF(AND(Inputs!$B$55=1,$A11&gt;Inputs!$B$84),Inputs!$B$54,1),0)</f>
        <v>0</v>
      </c>
      <c r="N11" s="16">
        <f>INDEX(Medical!$J$63:$J$109,MATCH($A11,Medical!$A$63:$A$109,0))</f>
        <v>0</v>
      </c>
      <c r="O11" s="16">
        <f>IF($A11&gt;=Inputs!$B$81,Inputs!$B$39,0)</f>
        <v>0</v>
      </c>
      <c r="P11" s="16">
        <f>IF(AND(Inputs!$B$58=1,$A11=Inputs!$B$57),Inputs!$B$56,0)+IF(AND(Inputs!$B$61=1,$A11&gt;=Inputs!$B$60),Inputs!$B$59,0)</f>
        <v>0</v>
      </c>
      <c r="Q11" s="16">
        <f>D11+E11-H11-I11+J11-K11-L11-M11-N11+O11+P11-IF($A11&lt;Inputs!$B$81,Inputs!$B$42,0)</f>
        <v>874611.56251829374</v>
      </c>
      <c r="R11" s="16">
        <f t="shared" si="3"/>
        <v>16481444.997541701</v>
      </c>
      <c r="S11" s="16">
        <f>R11*Inputs!$B$35</f>
        <v>791109.35988200165</v>
      </c>
      <c r="T11" s="16">
        <f>IF($A11=Inputs!$B$81,-Inputs!$B$38,0)</f>
        <v>0</v>
      </c>
      <c r="U11" s="16">
        <f t="shared" si="2"/>
        <v>18147165.919941999</v>
      </c>
    </row>
    <row r="12" spans="1:21" x14ac:dyDescent="0.25">
      <c r="A12" s="20">
        <v>2034</v>
      </c>
      <c r="B12" s="20">
        <f t="shared" si="0"/>
        <v>62</v>
      </c>
      <c r="C12" s="20">
        <f t="shared" si="1"/>
        <v>57</v>
      </c>
      <c r="D12" s="16">
        <f>IF($A12&lt;Inputs!$B$81,(Inputs!$B$27+Inputs!$B$28)*(1+Inputs!$B$6)^($A12-Inputs!$B$80),0)</f>
        <v>1520124.097665139</v>
      </c>
      <c r="E12" s="16">
        <f>IF($A12&lt;Inputs!$B$82,Inputs!$B$29*(1+Inputs!$B$7)^($A12-Inputs!$B$80),0)</f>
        <v>912074.45859908347</v>
      </c>
      <c r="F12" s="16">
        <f>(Inputs!$B$18+Inputs!$B$20+2*Inputs!$B$21)*(1+Inputs!$B$5)^($A12-Inputs!$B$80)</f>
        <v>481269.14451641747</v>
      </c>
      <c r="G12" s="16">
        <f>Inputs!$B$18*(1+Inputs!$B$5)^($A12-Inputs!$B$80)</f>
        <v>176668.42013893806</v>
      </c>
      <c r="H12" s="16">
        <f>IF(D12=0,0,IF(MAX(D12-Inputs!$B$22-Tax!$B$4/2-F12,0)&gt;200000,Inputs!$B$24+(MAX(D12-Inputs!$B$22-Tax!$B$4/2-F12,0)-200000)*Inputs!$B$23,IF(MAX(D12-Inputs!$B$22-Tax!$B$4/2-F12,0)&gt;150000,9000+(MAX(D12-Inputs!$B$22-Tax!$B$4/2-F12,0)-150000)*0.14,IF(MAX(D12-Inputs!$B$22-Tax!$B$4/2-F12,0)&gt;100000,4000+(MAX(D12-Inputs!$B$22-Tax!$B$4/2-F12,0)-100000)*0.1,IF(MAX(D12-Inputs!$B$22-Tax!$B$4/2-F12,0)&gt;50000,1000+(MAX(D12-Inputs!$B$22-Tax!$B$4/2-F12,0)-50000)*0.06,MAX(MAX(D12-Inputs!$B$22-Tax!$B$4/2-F12,0),0)*0.02)))))</f>
        <v>150190.34203528267</v>
      </c>
      <c r="I12" s="16">
        <f>IF(E12=0,0,IF(MAX(E12-Inputs!$B$22-Tax!$B$4/2-G12,0)&gt;200000,Inputs!$B$24+(MAX(E12-Inputs!$B$22-Tax!$B$4/2-G12,0)-200000)*Inputs!$B$23,IF(MAX(E12-Inputs!$B$22-Tax!$B$4/2-G12,0)&gt;150000,9000+(MAX(E12-Inputs!$B$22-Tax!$B$4/2-G12,0)-150000)*0.14,IF(MAX(E12-Inputs!$B$22-Tax!$B$4/2-G12,0)&gt;100000,4000+(MAX(E12-Inputs!$B$22-Tax!$B$4/2-G12,0)-100000)*0.1,IF(MAX(E12-Inputs!$B$22-Tax!$B$4/2-G12,0)&gt;50000,1000+(MAX(E12-Inputs!$B$22-Tax!$B$4/2-G12,0)-50000)*0.06,MAX(MAX(E12-Inputs!$B$22-Tax!$B$4/2-G12,0),0)*0.02)))))</f>
        <v>98604.026538224731</v>
      </c>
      <c r="J12" s="16">
        <f>IF(D12&gt;0,Inputs!$B$22,0)+IF(E12&gt;0,Inputs!$B$22,0)</f>
        <v>36000</v>
      </c>
      <c r="K12" s="16">
        <f>IF($A12&lt;Inputs!$B$81,Inputs!$B$31*(1+Inputs!$B$5)^($A12-Inputs!$B$80),0)</f>
        <v>1198908.4511497591</v>
      </c>
      <c r="L12" s="16">
        <f>IF(AND($A12&gt;=Inputs!$B$83,$A12&lt;Inputs!$B$83+Inputs!$B$41),Inputs!$B$40*(1+Inputs!$B$8)^($A12-Inputs!$B$80),0)</f>
        <v>0</v>
      </c>
      <c r="M12" s="16">
        <f>IF($A12&gt;=Inputs!$B$81,Inputs!$B$32*(1+Inputs!$B$5)^($A12-Inputs!$B$80)*IF(AND(Inputs!$B$55=1,$A12&gt;Inputs!$B$84),Inputs!$B$54,1),0)</f>
        <v>0</v>
      </c>
      <c r="N12" s="16">
        <f>INDEX(Medical!$J$63:$J$109,MATCH($A12,Medical!$A$63:$A$109,0))</f>
        <v>0</v>
      </c>
      <c r="O12" s="16">
        <f>IF($A12&gt;=Inputs!$B$81,Inputs!$B$39,0)</f>
        <v>0</v>
      </c>
      <c r="P12" s="16">
        <f>IF(AND(Inputs!$B$58=1,$A12=Inputs!$B$57),Inputs!$B$56,0)+IF(AND(Inputs!$B$61=1,$A12&gt;=Inputs!$B$60),Inputs!$B$59,0)</f>
        <v>0</v>
      </c>
      <c r="Q12" s="16">
        <f>D12+E12-H12-I12+J12-K12-L12-M12-N12+O12+P12-IF($A12&lt;Inputs!$B$81,Inputs!$B$42,0)</f>
        <v>906895.73654095572</v>
      </c>
      <c r="R12" s="16">
        <f t="shared" si="3"/>
        <v>18147165.919941999</v>
      </c>
      <c r="S12" s="16">
        <f>R12*Inputs!$B$35</f>
        <v>871063.96415721602</v>
      </c>
      <c r="T12" s="16">
        <f>IF($A12=Inputs!$B$81,-Inputs!$B$38,0)</f>
        <v>0</v>
      </c>
      <c r="U12" s="16">
        <f t="shared" si="2"/>
        <v>19925125.62064017</v>
      </c>
    </row>
    <row r="13" spans="1:21" x14ac:dyDescent="0.25">
      <c r="A13" s="20">
        <v>2035</v>
      </c>
      <c r="B13" s="20">
        <f t="shared" si="0"/>
        <v>63</v>
      </c>
      <c r="C13" s="20">
        <f t="shared" si="1"/>
        <v>58</v>
      </c>
      <c r="D13" s="16">
        <f>IF($A13&lt;Inputs!$B$81,(Inputs!$B$27+Inputs!$B$28)*(1+Inputs!$B$6)^($A13-Inputs!$B$80),0)</f>
        <v>1565727.8205950933</v>
      </c>
      <c r="E13" s="16">
        <f>IF($A13&lt;Inputs!$B$82,Inputs!$B$29*(1+Inputs!$B$7)^($A13-Inputs!$B$80),0)</f>
        <v>939436.69235705596</v>
      </c>
      <c r="F13" s="16">
        <f>(Inputs!$B$18+Inputs!$B$20+2*Inputs!$B$21)*(1+Inputs!$B$5)^($A13-Inputs!$B$80)</f>
        <v>493300.87312932784</v>
      </c>
      <c r="G13" s="16">
        <f>Inputs!$B$18*(1+Inputs!$B$5)^($A13-Inputs!$B$80)</f>
        <v>181085.13064241147</v>
      </c>
      <c r="H13" s="16">
        <f>IF(D13=0,0,IF(MAX(D13-Inputs!$B$22-Tax!$B$4/2-F13,0)&gt;200000,Inputs!$B$24+(MAX(D13-Inputs!$B$22-Tax!$B$4/2-F13,0)-200000)*Inputs!$B$23,IF(MAX(D13-Inputs!$B$22-Tax!$B$4/2-F13,0)&gt;150000,9000+(MAX(D13-Inputs!$B$22-Tax!$B$4/2-F13,0)-150000)*0.14,IF(MAX(D13-Inputs!$B$22-Tax!$B$4/2-F13,0)&gt;100000,4000+(MAX(D13-Inputs!$B$22-Tax!$B$4/2-F13,0)-100000)*0.1,IF(MAX(D13-Inputs!$B$22-Tax!$B$4/2-F13,0)&gt;50000,1000+(MAX(D13-Inputs!$B$22-Tax!$B$4/2-F13,0)-50000)*0.06,MAX(MAX(D13-Inputs!$B$22-Tax!$B$4/2-F13,0),0)*0.02)))))</f>
        <v>155897.58106918016</v>
      </c>
      <c r="I13" s="16">
        <f>IF(E13=0,0,IF(MAX(E13-Inputs!$B$22-Tax!$B$4/2-G13,0)&gt;200000,Inputs!$B$24+(MAX(E13-Inputs!$B$22-Tax!$B$4/2-G13,0)-200000)*Inputs!$B$23,IF(MAX(E13-Inputs!$B$22-Tax!$B$4/2-G13,0)&gt;150000,9000+(MAX(E13-Inputs!$B$22-Tax!$B$4/2-G13,0)-150000)*0.14,IF(MAX(E13-Inputs!$B$22-Tax!$B$4/2-G13,0)&gt;100000,4000+(MAX(E13-Inputs!$B$22-Tax!$B$4/2-G13,0)-100000)*0.1,IF(MAX(E13-Inputs!$B$22-Tax!$B$4/2-G13,0)&gt;50000,1000+(MAX(E13-Inputs!$B$22-Tax!$B$4/2-G13,0)-50000)*0.06,MAX(MAX(E13-Inputs!$B$22-Tax!$B$4/2-G13,0),0)*0.02)))))</f>
        <v>102504.76549148958</v>
      </c>
      <c r="J13" s="16">
        <f>IF(D13&gt;0,Inputs!$B$22,0)+IF(E13&gt;0,Inputs!$B$22,0)</f>
        <v>36000</v>
      </c>
      <c r="K13" s="16">
        <f>IF($A13&lt;Inputs!$B$81,Inputs!$B$31*(1+Inputs!$B$5)^($A13-Inputs!$B$80),0)</f>
        <v>1228881.1624285027</v>
      </c>
      <c r="L13" s="16">
        <f>IF(AND($A13&gt;=Inputs!$B$83,$A13&lt;Inputs!$B$83+Inputs!$B$41),Inputs!$B$40*(1+Inputs!$B$8)^($A13-Inputs!$B$80),0)</f>
        <v>0</v>
      </c>
      <c r="M13" s="16">
        <f>IF($A13&gt;=Inputs!$B$81,Inputs!$B$32*(1+Inputs!$B$5)^($A13-Inputs!$B$80)*IF(AND(Inputs!$B$55=1,$A13&gt;Inputs!$B$84),Inputs!$B$54,1),0)</f>
        <v>0</v>
      </c>
      <c r="N13" s="16">
        <f>INDEX(Medical!$J$63:$J$109,MATCH($A13,Medical!$A$63:$A$109,0))</f>
        <v>0</v>
      </c>
      <c r="O13" s="16">
        <f>IF($A13&gt;=Inputs!$B$81,Inputs!$B$39,0)</f>
        <v>0</v>
      </c>
      <c r="P13" s="16">
        <f>IF(AND(Inputs!$B$58=1,$A13=Inputs!$B$57),Inputs!$B$56,0)+IF(AND(Inputs!$B$61=1,$A13&gt;=Inputs!$B$60),Inputs!$B$59,0)</f>
        <v>0</v>
      </c>
      <c r="Q13" s="16">
        <f>D13+E13-H13-I13+J13-K13-L13-M13-N13+O13+P13-IF($A13&lt;Inputs!$B$81,Inputs!$B$42,0)</f>
        <v>940281.00396297663</v>
      </c>
      <c r="R13" s="16">
        <f t="shared" si="3"/>
        <v>19925125.62064017</v>
      </c>
      <c r="S13" s="16">
        <f>R13*Inputs!$B$35</f>
        <v>956406.02979072812</v>
      </c>
      <c r="T13" s="16">
        <f>IF($A13=Inputs!$B$81,-Inputs!$B$38,0)</f>
        <v>0</v>
      </c>
      <c r="U13" s="16">
        <f t="shared" si="2"/>
        <v>21821812.654393874</v>
      </c>
    </row>
    <row r="14" spans="1:21" x14ac:dyDescent="0.25">
      <c r="A14" s="20">
        <v>2036</v>
      </c>
      <c r="B14" s="20">
        <f t="shared" si="0"/>
        <v>64</v>
      </c>
      <c r="C14" s="20">
        <f t="shared" si="1"/>
        <v>59</v>
      </c>
      <c r="D14" s="16">
        <f>IF($A14&lt;Inputs!$B$81,(Inputs!$B$27+Inputs!$B$28)*(1+Inputs!$B$6)^($A14-Inputs!$B$80),0)</f>
        <v>1612699.6552129462</v>
      </c>
      <c r="E14" s="16">
        <f>IF($A14&lt;Inputs!$B$82,Inputs!$B$29*(1+Inputs!$B$7)^($A14-Inputs!$B$80),0)</f>
        <v>967619.79312776763</v>
      </c>
      <c r="F14" s="16">
        <f>(Inputs!$B$18+Inputs!$B$20+2*Inputs!$B$21)*(1+Inputs!$B$5)^($A14-Inputs!$B$80)</f>
        <v>505633.39495756105</v>
      </c>
      <c r="G14" s="16">
        <f>Inputs!$B$18*(1+Inputs!$B$5)^($A14-Inputs!$B$80)</f>
        <v>185612.25890847179</v>
      </c>
      <c r="H14" s="16">
        <f>IF(D14=0,0,IF(MAX(D14-Inputs!$B$22-Tax!$B$4/2-F14,0)&gt;200000,Inputs!$B$24+(MAX(D14-Inputs!$B$22-Tax!$B$4/2-F14,0)-200000)*Inputs!$B$23,IF(MAX(D14-Inputs!$B$22-Tax!$B$4/2-F14,0)&gt;150000,9000+(MAX(D14-Inputs!$B$22-Tax!$B$4/2-F14,0)-150000)*0.14,IF(MAX(D14-Inputs!$B$22-Tax!$B$4/2-F14,0)&gt;100000,4000+(MAX(D14-Inputs!$B$22-Tax!$B$4/2-F14,0)-100000)*0.1,IF(MAX(D14-Inputs!$B$22-Tax!$B$4/2-F14,0)&gt;50000,1000+(MAX(D14-Inputs!$B$22-Tax!$B$4/2-F14,0)-50000)*0.06,MAX(MAX(D14-Inputs!$B$22-Tax!$B$4/2-F14,0),0)*0.02)))))</f>
        <v>161786.2642434155</v>
      </c>
      <c r="I14" s="16">
        <f>IF(E14=0,0,IF(MAX(E14-Inputs!$B$22-Tax!$B$4/2-G14,0)&gt;200000,Inputs!$B$24+(MAX(E14-Inputs!$B$22-Tax!$B$4/2-G14,0)-200000)*Inputs!$B$23,IF(MAX(E14-Inputs!$B$22-Tax!$B$4/2-G14,0)&gt;150000,9000+(MAX(E14-Inputs!$B$22-Tax!$B$4/2-G14,0)-150000)*0.14,IF(MAX(E14-Inputs!$B$22-Tax!$B$4/2-G14,0)&gt;100000,4000+(MAX(E14-Inputs!$B$22-Tax!$B$4/2-G14,0)-100000)*0.1,IF(MAX(E14-Inputs!$B$22-Tax!$B$4/2-G14,0)&gt;50000,1000+(MAX(E14-Inputs!$B$22-Tax!$B$4/2-G14,0)-50000)*0.06,MAX(MAX(E14-Inputs!$B$22-Tax!$B$4/2-G14,0),0)*0.02)))))</f>
        <v>106526.28081728031</v>
      </c>
      <c r="J14" s="16">
        <f>IF(D14&gt;0,Inputs!$B$22,0)+IF(E14&gt;0,Inputs!$B$22,0)</f>
        <v>36000</v>
      </c>
      <c r="K14" s="16">
        <f>IF($A14&lt;Inputs!$B$81,Inputs!$B$31*(1+Inputs!$B$5)^($A14-Inputs!$B$80),0)</f>
        <v>1259603.1914892155</v>
      </c>
      <c r="L14" s="16">
        <f>IF(AND($A14&gt;=Inputs!$B$83,$A14&lt;Inputs!$B$83+Inputs!$B$41),Inputs!$B$40*(1+Inputs!$B$8)^($A14-Inputs!$B$80),0)</f>
        <v>0</v>
      </c>
      <c r="M14" s="16">
        <f>IF($A14&gt;=Inputs!$B$81,Inputs!$B$32*(1+Inputs!$B$5)^($A14-Inputs!$B$80)*IF(AND(Inputs!$B$55=1,$A14&gt;Inputs!$B$84),Inputs!$B$54,1),0)</f>
        <v>0</v>
      </c>
      <c r="N14" s="16">
        <f>INDEX(Medical!$J$63:$J$109,MATCH($A14,Medical!$A$63:$A$109,0))</f>
        <v>0</v>
      </c>
      <c r="O14" s="16">
        <f>IF($A14&gt;=Inputs!$B$81,Inputs!$B$39,0)</f>
        <v>0</v>
      </c>
      <c r="P14" s="16">
        <f>IF(AND(Inputs!$B$58=1,$A14=Inputs!$B$57),Inputs!$B$56,0)+IF(AND(Inputs!$B$61=1,$A14&gt;=Inputs!$B$60),Inputs!$B$59,0)</f>
        <v>0</v>
      </c>
      <c r="Q14" s="16">
        <f>D14+E14-H14-I14+J14-K14-L14-M14-N14+O14+P14-IF($A14&lt;Inputs!$B$81,Inputs!$B$42,0)</f>
        <v>974803.71179080242</v>
      </c>
      <c r="R14" s="16">
        <f t="shared" si="3"/>
        <v>21821812.654393874</v>
      </c>
      <c r="S14" s="16">
        <f>R14*Inputs!$B$35</f>
        <v>1047447.007410906</v>
      </c>
      <c r="T14" s="16">
        <f>IF($A14=Inputs!$B$81,-Inputs!$B$38,0)</f>
        <v>0</v>
      </c>
      <c r="U14" s="16">
        <f t="shared" si="2"/>
        <v>23844063.373595584</v>
      </c>
    </row>
    <row r="15" spans="1:21" x14ac:dyDescent="0.25">
      <c r="A15" s="22">
        <v>2037</v>
      </c>
      <c r="B15" s="22">
        <f t="shared" si="0"/>
        <v>65</v>
      </c>
      <c r="C15" s="22">
        <f t="shared" si="1"/>
        <v>60</v>
      </c>
      <c r="D15" s="23">
        <f>IF($A15&lt;Inputs!$B$81,(Inputs!$B$27+Inputs!$B$28)*(1+Inputs!$B$6)^($A15-Inputs!$B$80),0)</f>
        <v>0</v>
      </c>
      <c r="E15" s="23">
        <f>IF($A15&lt;Inputs!$B$82,Inputs!$B$29*(1+Inputs!$B$7)^($A15-Inputs!$B$80),0)</f>
        <v>996648.38692160079</v>
      </c>
      <c r="F15" s="23">
        <f>(Inputs!$B$18+Inputs!$B$20+2*Inputs!$B$21)*(1+Inputs!$B$5)^($A15-Inputs!$B$80)</f>
        <v>518274.22983150004</v>
      </c>
      <c r="G15" s="23">
        <f>Inputs!$B$18*(1+Inputs!$B$5)^($A15-Inputs!$B$80)</f>
        <v>190252.56538118358</v>
      </c>
      <c r="H15" s="23">
        <f>IF(D15=0,0,IF(MAX(D15-Inputs!$B$22-Tax!$B$4/2-F15,0)&gt;200000,Inputs!$B$24+(MAX(D15-Inputs!$B$22-Tax!$B$4/2-F15,0)-200000)*Inputs!$B$23,IF(MAX(D15-Inputs!$B$22-Tax!$B$4/2-F15,0)&gt;150000,9000+(MAX(D15-Inputs!$B$22-Tax!$B$4/2-F15,0)-150000)*0.14,IF(MAX(D15-Inputs!$B$22-Tax!$B$4/2-F15,0)&gt;100000,4000+(MAX(D15-Inputs!$B$22-Tax!$B$4/2-F15,0)-100000)*0.1,IF(MAX(D15-Inputs!$B$22-Tax!$B$4/2-F15,0)&gt;50000,1000+(MAX(D15-Inputs!$B$22-Tax!$B$4/2-F15,0)-50000)*0.06,MAX(MAX(D15-Inputs!$B$22-Tax!$B$4/2-F15,0),0)*0.02)))))</f>
        <v>0</v>
      </c>
      <c r="I15" s="23">
        <f>IF(E15=0,0,IF(MAX(E15-Inputs!$B$22-Tax!$B$4/2-G15,0)&gt;200000,Inputs!$B$24+(MAX(E15-Inputs!$B$22-Tax!$B$4/2-G15,0)-200000)*Inputs!$B$23,IF(MAX(E15-Inputs!$B$22-Tax!$B$4/2-G15,0)&gt;150000,9000+(MAX(E15-Inputs!$B$22-Tax!$B$4/2-G15,0)-150000)*0.14,IF(MAX(E15-Inputs!$B$22-Tax!$B$4/2-G15,0)&gt;100000,4000+(MAX(E15-Inputs!$B$22-Tax!$B$4/2-G15,0)-100000)*0.1,IF(MAX(E15-Inputs!$B$22-Tax!$B$4/2-G15,0)&gt;50000,1000+(MAX(E15-Inputs!$B$22-Tax!$B$4/2-G15,0)-50000)*0.06,MAX(MAX(E15-Inputs!$B$22-Tax!$B$4/2-G15,0),0)*0.02)))))</f>
        <v>110672.28966187092</v>
      </c>
      <c r="J15" s="23">
        <f>IF(D15&gt;0,Inputs!$B$22,0)+IF(E15&gt;0,Inputs!$B$22,0)</f>
        <v>18000</v>
      </c>
      <c r="K15" s="23">
        <f>IF($A15&lt;Inputs!$B$81,Inputs!$B$31*(1+Inputs!$B$5)^($A15-Inputs!$B$80),0)</f>
        <v>0</v>
      </c>
      <c r="L15" s="23">
        <f>IF(AND($A15&gt;=Inputs!$B$83,$A15&lt;Inputs!$B$83+Inputs!$B$41),Inputs!$B$40*(1+Inputs!$B$8)^($A15-Inputs!$B$80),0)</f>
        <v>0</v>
      </c>
      <c r="M15" s="23">
        <f>IF($A15&gt;=Inputs!$B$81,Inputs!$B$32*(1+Inputs!$B$5)^($A15-Inputs!$B$80)*IF(AND(Inputs!$B$55=1,$A15&gt;Inputs!$B$84),Inputs!$B$54,1),0)</f>
        <v>1023427.5930849875</v>
      </c>
      <c r="N15" s="23">
        <f>INDEX(Medical!$J$63:$J$109,MATCH($A15,Medical!$A$63:$A$109,0))</f>
        <v>0</v>
      </c>
      <c r="O15" s="23">
        <f>IF($A15&gt;=Inputs!$B$81,Inputs!$B$39,0)</f>
        <v>268000</v>
      </c>
      <c r="P15" s="23">
        <f>IF(AND(Inputs!$B$58=1,$A15=Inputs!$B$57),Inputs!$B$56,0)+IF(AND(Inputs!$B$61=1,$A15&gt;=Inputs!$B$60),Inputs!$B$59,0)</f>
        <v>0</v>
      </c>
      <c r="Q15" s="23">
        <f>D15+E15-H15-I15+J15-K15-L15-M15-N15+O15+P15-IF($A15&lt;Inputs!$B$81,Inputs!$B$42,0)</f>
        <v>148548.50417474238</v>
      </c>
      <c r="R15" s="23">
        <f t="shared" si="3"/>
        <v>23844063.373595584</v>
      </c>
      <c r="S15" s="23">
        <f>R15*Inputs!$B$35</f>
        <v>1144515.041932588</v>
      </c>
      <c r="T15" s="23">
        <f>IF($A15=Inputs!$B$81,-Inputs!$B$38,0)</f>
        <v>-4120000</v>
      </c>
      <c r="U15" s="23">
        <f t="shared" si="2"/>
        <v>21017126.919702914</v>
      </c>
    </row>
    <row r="16" spans="1:21" x14ac:dyDescent="0.25">
      <c r="A16" s="20">
        <v>2038</v>
      </c>
      <c r="B16" s="20">
        <f t="shared" si="0"/>
        <v>66</v>
      </c>
      <c r="C16" s="20">
        <f t="shared" si="1"/>
        <v>61</v>
      </c>
      <c r="D16" s="16">
        <f>IF($A16&lt;Inputs!$B$81,(Inputs!$B$27+Inputs!$B$28)*(1+Inputs!$B$6)^($A16-Inputs!$B$80),0)</f>
        <v>0</v>
      </c>
      <c r="E16" s="16">
        <f>IF($A16&lt;Inputs!$B$82,Inputs!$B$29*(1+Inputs!$B$7)^($A16-Inputs!$B$80),0)</f>
        <v>1026547.8385292486</v>
      </c>
      <c r="F16" s="16">
        <f>(Inputs!$B$18+Inputs!$B$20+2*Inputs!$B$21)*(1+Inputs!$B$5)^($A16-Inputs!$B$80)</f>
        <v>531231.08557728748</v>
      </c>
      <c r="G16" s="16">
        <f>Inputs!$B$18*(1+Inputs!$B$5)^($A16-Inputs!$B$80)</f>
        <v>195008.87951571314</v>
      </c>
      <c r="H16" s="16">
        <f>IF(D16=0,0,IF(MAX(D16-Inputs!$B$22-Tax!$B$4/2-F16,0)&gt;200000,Inputs!$B$24+(MAX(D16-Inputs!$B$22-Tax!$B$4/2-F16,0)-200000)*Inputs!$B$23,IF(MAX(D16-Inputs!$B$22-Tax!$B$4/2-F16,0)&gt;150000,9000+(MAX(D16-Inputs!$B$22-Tax!$B$4/2-F16,0)-150000)*0.14,IF(MAX(D16-Inputs!$B$22-Tax!$B$4/2-F16,0)&gt;100000,4000+(MAX(D16-Inputs!$B$22-Tax!$B$4/2-F16,0)-100000)*0.1,IF(MAX(D16-Inputs!$B$22-Tax!$B$4/2-F16,0)&gt;50000,1000+(MAX(D16-Inputs!$B$22-Tax!$B$4/2-F16,0)-50000)*0.06,MAX(MAX(D16-Inputs!$B$22-Tax!$B$4/2-F16,0),0)*0.02)))))</f>
        <v>0</v>
      </c>
      <c r="I16" s="16">
        <f>IF(E16=0,0,IF(MAX(E16-Inputs!$B$22-Tax!$B$4/2-G16,0)&gt;200000,Inputs!$B$24+(MAX(E16-Inputs!$B$22-Tax!$B$4/2-G16,0)-200000)*Inputs!$B$23,IF(MAX(E16-Inputs!$B$22-Tax!$B$4/2-G16,0)&gt;150000,9000+(MAX(E16-Inputs!$B$22-Tax!$B$4/2-G16,0)-150000)*0.14,IF(MAX(E16-Inputs!$B$22-Tax!$B$4/2-G16,0)&gt;100000,4000+(MAX(E16-Inputs!$B$22-Tax!$B$4/2-G16,0)-100000)*0.1,IF(MAX(E16-Inputs!$B$22-Tax!$B$4/2-G16,0)&gt;50000,1000+(MAX(E16-Inputs!$B$22-Tax!$B$4/2-G16,0)-50000)*0.06,MAX(MAX(E16-Inputs!$B$22-Tax!$B$4/2-G16,0),0)*0.02)))))</f>
        <v>114946.62303230102</v>
      </c>
      <c r="J16" s="16">
        <f>IF(D16&gt;0,Inputs!$B$22,0)+IF(E16&gt;0,Inputs!$B$22,0)</f>
        <v>18000</v>
      </c>
      <c r="K16" s="16">
        <f>IF($A16&lt;Inputs!$B$81,Inputs!$B$31*(1+Inputs!$B$5)^($A16-Inputs!$B$80),0)</f>
        <v>0</v>
      </c>
      <c r="L16" s="16">
        <f>IF(AND($A16&gt;=Inputs!$B$83,$A16&lt;Inputs!$B$83+Inputs!$B$41),Inputs!$B$40*(1+Inputs!$B$8)^($A16-Inputs!$B$80),0)</f>
        <v>0</v>
      </c>
      <c r="M16" s="16">
        <f>IF($A16&gt;=Inputs!$B$81,Inputs!$B$32*(1+Inputs!$B$5)^($A16-Inputs!$B$80)*IF(AND(Inputs!$B$55=1,$A16&gt;Inputs!$B$84),Inputs!$B$54,1),0)</f>
        <v>1049013.2829121121</v>
      </c>
      <c r="N16" s="16">
        <f>INDEX(Medical!$J$63:$J$109,MATCH($A16,Medical!$A$63:$A$109,0))</f>
        <v>0</v>
      </c>
      <c r="O16" s="16">
        <f>IF($A16&gt;=Inputs!$B$81,Inputs!$B$39,0)</f>
        <v>268000</v>
      </c>
      <c r="P16" s="16">
        <f>IF(AND(Inputs!$B$58=1,$A16=Inputs!$B$57),Inputs!$B$56,0)+IF(AND(Inputs!$B$61=1,$A16&gt;=Inputs!$B$60),Inputs!$B$59,0)</f>
        <v>0</v>
      </c>
      <c r="Q16" s="16">
        <f>D16+E16-H16-I16+J16-K16-L16-M16-N16+O16+P16-IF($A16&lt;Inputs!$B$81,Inputs!$B$42,0)</f>
        <v>148587.93258483545</v>
      </c>
      <c r="R16" s="16">
        <f t="shared" si="3"/>
        <v>21017126.919702914</v>
      </c>
      <c r="S16" s="16">
        <f>R16*Inputs!$B$35</f>
        <v>1008822.0921457398</v>
      </c>
      <c r="T16" s="16">
        <f>IF($A16=Inputs!$B$81,-Inputs!$B$38,0)</f>
        <v>0</v>
      </c>
      <c r="U16" s="16">
        <f t="shared" si="2"/>
        <v>22174536.944433492</v>
      </c>
    </row>
    <row r="17" spans="1:21" x14ac:dyDescent="0.25">
      <c r="A17" s="22">
        <v>2039</v>
      </c>
      <c r="B17" s="22">
        <f t="shared" si="0"/>
        <v>67</v>
      </c>
      <c r="C17" s="22">
        <f t="shared" si="1"/>
        <v>62</v>
      </c>
      <c r="D17" s="23">
        <f>IF($A17&lt;Inputs!$B$81,(Inputs!$B$27+Inputs!$B$28)*(1+Inputs!$B$6)^($A17-Inputs!$B$80),0)</f>
        <v>0</v>
      </c>
      <c r="E17" s="23">
        <f>IF($A17&lt;Inputs!$B$82,Inputs!$B$29*(1+Inputs!$B$7)^($A17-Inputs!$B$80),0)</f>
        <v>0</v>
      </c>
      <c r="F17" s="23">
        <f>(Inputs!$B$18+Inputs!$B$20+2*Inputs!$B$21)*(1+Inputs!$B$5)^($A17-Inputs!$B$80)</f>
        <v>544511.86271671974</v>
      </c>
      <c r="G17" s="23">
        <f>Inputs!$B$18*(1+Inputs!$B$5)^($A17-Inputs!$B$80)</f>
        <v>199884.10150360595</v>
      </c>
      <c r="H17" s="23">
        <f>IF(D17=0,0,IF(MAX(D17-Inputs!$B$22-Tax!$B$4/2-F17,0)&gt;200000,Inputs!$B$24+(MAX(D17-Inputs!$B$22-Tax!$B$4/2-F17,0)-200000)*Inputs!$B$23,IF(MAX(D17-Inputs!$B$22-Tax!$B$4/2-F17,0)&gt;150000,9000+(MAX(D17-Inputs!$B$22-Tax!$B$4/2-F17,0)-150000)*0.14,IF(MAX(D17-Inputs!$B$22-Tax!$B$4/2-F17,0)&gt;100000,4000+(MAX(D17-Inputs!$B$22-Tax!$B$4/2-F17,0)-100000)*0.1,IF(MAX(D17-Inputs!$B$22-Tax!$B$4/2-F17,0)&gt;50000,1000+(MAX(D17-Inputs!$B$22-Tax!$B$4/2-F17,0)-50000)*0.06,MAX(MAX(D17-Inputs!$B$22-Tax!$B$4/2-F17,0),0)*0.02)))))</f>
        <v>0</v>
      </c>
      <c r="I17" s="23">
        <f>IF(E17=0,0,IF(MAX(E17-Inputs!$B$22-Tax!$B$4/2-G17,0)&gt;200000,Inputs!$B$24+(MAX(E17-Inputs!$B$22-Tax!$B$4/2-G17,0)-200000)*Inputs!$B$23,IF(MAX(E17-Inputs!$B$22-Tax!$B$4/2-G17,0)&gt;150000,9000+(MAX(E17-Inputs!$B$22-Tax!$B$4/2-G17,0)-150000)*0.14,IF(MAX(E17-Inputs!$B$22-Tax!$B$4/2-G17,0)&gt;100000,4000+(MAX(E17-Inputs!$B$22-Tax!$B$4/2-G17,0)-100000)*0.1,IF(MAX(E17-Inputs!$B$22-Tax!$B$4/2-G17,0)&gt;50000,1000+(MAX(E17-Inputs!$B$22-Tax!$B$4/2-G17,0)-50000)*0.06,MAX(MAX(E17-Inputs!$B$22-Tax!$B$4/2-G17,0),0)*0.02)))))</f>
        <v>0</v>
      </c>
      <c r="J17" s="23">
        <f>IF(D17&gt;0,Inputs!$B$22,0)+IF(E17&gt;0,Inputs!$B$22,0)</f>
        <v>0</v>
      </c>
      <c r="K17" s="23">
        <f>IF($A17&lt;Inputs!$B$81,Inputs!$B$31*(1+Inputs!$B$5)^($A17-Inputs!$B$80),0)</f>
        <v>0</v>
      </c>
      <c r="L17" s="23">
        <f>IF(AND($A17&gt;=Inputs!$B$83,$A17&lt;Inputs!$B$83+Inputs!$B$41),Inputs!$B$40*(1+Inputs!$B$8)^($A17-Inputs!$B$80),0)</f>
        <v>0</v>
      </c>
      <c r="M17" s="23">
        <f>IF($A17&gt;=Inputs!$B$81,Inputs!$B$32*(1+Inputs!$B$5)^($A17-Inputs!$B$80)*IF(AND(Inputs!$B$55=1,$A17&gt;Inputs!$B$84),Inputs!$B$54,1),0)</f>
        <v>1075238.6149849149</v>
      </c>
      <c r="N17" s="23">
        <f>INDEX(Medical!$J$63:$J$109,MATCH($A17,Medical!$A$63:$A$109,0))</f>
        <v>69643.453498252085</v>
      </c>
      <c r="O17" s="23">
        <f>IF($A17&gt;=Inputs!$B$81,Inputs!$B$39,0)</f>
        <v>268000</v>
      </c>
      <c r="P17" s="23">
        <f>IF(AND(Inputs!$B$58=1,$A17=Inputs!$B$57),Inputs!$B$56,0)+IF(AND(Inputs!$B$61=1,$A17&gt;=Inputs!$B$60),Inputs!$B$59,0)</f>
        <v>0</v>
      </c>
      <c r="Q17" s="23">
        <f>D17+E17-H17-I17+J17-K17-L17-M17-N17+O17+P17-IF($A17&lt;Inputs!$B$81,Inputs!$B$42,0)</f>
        <v>-876882.06848316686</v>
      </c>
      <c r="R17" s="23">
        <f t="shared" si="3"/>
        <v>22174536.944433492</v>
      </c>
      <c r="S17" s="23">
        <f>R17*Inputs!$B$35</f>
        <v>1064377.7733328077</v>
      </c>
      <c r="T17" s="23">
        <f>IF($A17=Inputs!$B$81,-Inputs!$B$38,0)</f>
        <v>0</v>
      </c>
      <c r="U17" s="23">
        <f t="shared" si="2"/>
        <v>22362032.649283133</v>
      </c>
    </row>
    <row r="18" spans="1:21" x14ac:dyDescent="0.25">
      <c r="A18" s="20">
        <v>2040</v>
      </c>
      <c r="B18" s="20">
        <f t="shared" si="0"/>
        <v>68</v>
      </c>
      <c r="C18" s="20">
        <f t="shared" si="1"/>
        <v>63</v>
      </c>
      <c r="D18" s="16">
        <f>IF($A18&lt;Inputs!$B$81,(Inputs!$B$27+Inputs!$B$28)*(1+Inputs!$B$6)^($A18-Inputs!$B$80),0)</f>
        <v>0</v>
      </c>
      <c r="E18" s="16">
        <f>IF($A18&lt;Inputs!$B$82,Inputs!$B$29*(1+Inputs!$B$7)^($A18-Inputs!$B$80),0)</f>
        <v>0</v>
      </c>
      <c r="F18" s="16">
        <f>(Inputs!$B$18+Inputs!$B$20+2*Inputs!$B$21)*(1+Inputs!$B$5)^($A18-Inputs!$B$80)</f>
        <v>558124.65928463766</v>
      </c>
      <c r="G18" s="16">
        <f>Inputs!$B$18*(1+Inputs!$B$5)^($A18-Inputs!$B$80)</f>
        <v>204881.20404119609</v>
      </c>
      <c r="H18" s="16">
        <f>IF(D18=0,0,IF(MAX(D18-Inputs!$B$22-Tax!$B$4/2-F18,0)&gt;200000,Inputs!$B$24+(MAX(D18-Inputs!$B$22-Tax!$B$4/2-F18,0)-200000)*Inputs!$B$23,IF(MAX(D18-Inputs!$B$22-Tax!$B$4/2-F18,0)&gt;150000,9000+(MAX(D18-Inputs!$B$22-Tax!$B$4/2-F18,0)-150000)*0.14,IF(MAX(D18-Inputs!$B$22-Tax!$B$4/2-F18,0)&gt;100000,4000+(MAX(D18-Inputs!$B$22-Tax!$B$4/2-F18,0)-100000)*0.1,IF(MAX(D18-Inputs!$B$22-Tax!$B$4/2-F18,0)&gt;50000,1000+(MAX(D18-Inputs!$B$22-Tax!$B$4/2-F18,0)-50000)*0.06,MAX(MAX(D18-Inputs!$B$22-Tax!$B$4/2-F18,0),0)*0.02)))))</f>
        <v>0</v>
      </c>
      <c r="I18" s="16">
        <f>IF(E18=0,0,IF(MAX(E18-Inputs!$B$22-Tax!$B$4/2-G18,0)&gt;200000,Inputs!$B$24+(MAX(E18-Inputs!$B$22-Tax!$B$4/2-G18,0)-200000)*Inputs!$B$23,IF(MAX(E18-Inputs!$B$22-Tax!$B$4/2-G18,0)&gt;150000,9000+(MAX(E18-Inputs!$B$22-Tax!$B$4/2-G18,0)-150000)*0.14,IF(MAX(E18-Inputs!$B$22-Tax!$B$4/2-G18,0)&gt;100000,4000+(MAX(E18-Inputs!$B$22-Tax!$B$4/2-G18,0)-100000)*0.1,IF(MAX(E18-Inputs!$B$22-Tax!$B$4/2-G18,0)&gt;50000,1000+(MAX(E18-Inputs!$B$22-Tax!$B$4/2-G18,0)-50000)*0.06,MAX(MAX(E18-Inputs!$B$22-Tax!$B$4/2-G18,0),0)*0.02)))))</f>
        <v>0</v>
      </c>
      <c r="J18" s="16">
        <f>IF(D18&gt;0,Inputs!$B$22,0)+IF(E18&gt;0,Inputs!$B$22,0)</f>
        <v>0</v>
      </c>
      <c r="K18" s="16">
        <f>IF($A18&lt;Inputs!$B$81,Inputs!$B$31*(1+Inputs!$B$5)^($A18-Inputs!$B$80),0)</f>
        <v>0</v>
      </c>
      <c r="L18" s="16">
        <f>IF(AND($A18&gt;=Inputs!$B$83,$A18&lt;Inputs!$B$83+Inputs!$B$41),Inputs!$B$40*(1+Inputs!$B$8)^($A18-Inputs!$B$80),0)</f>
        <v>0</v>
      </c>
      <c r="M18" s="16">
        <f>IF($A18&gt;=Inputs!$B$81,Inputs!$B$32*(1+Inputs!$B$5)^($A18-Inputs!$B$80)*IF(AND(Inputs!$B$55=1,$A18&gt;Inputs!$B$84),Inputs!$B$54,1),0)</f>
        <v>1102119.5803595376</v>
      </c>
      <c r="N18" s="16">
        <f>INDEX(Medical!$J$63:$J$109,MATCH($A18,Medical!$A$63:$A$109,0))</f>
        <v>87001.932886053866</v>
      </c>
      <c r="O18" s="16">
        <f>IF($A18&gt;=Inputs!$B$81,Inputs!$B$39,0)</f>
        <v>268000</v>
      </c>
      <c r="P18" s="16">
        <f>IF(AND(Inputs!$B$58=1,$A18=Inputs!$B$57),Inputs!$B$56,0)+IF(AND(Inputs!$B$61=1,$A18&gt;=Inputs!$B$60),Inputs!$B$59,0)</f>
        <v>0</v>
      </c>
      <c r="Q18" s="16">
        <f>D18+E18-H18-I18+J18-K18-L18-M18-N18+O18+P18-IF($A18&lt;Inputs!$B$81,Inputs!$B$42,0)</f>
        <v>-921121.51324559143</v>
      </c>
      <c r="R18" s="16">
        <f t="shared" si="3"/>
        <v>22362032.649283133</v>
      </c>
      <c r="S18" s="16">
        <f>R18*Inputs!$B$35</f>
        <v>1073377.5671655904</v>
      </c>
      <c r="T18" s="16">
        <f>IF($A18=Inputs!$B$81,-Inputs!$B$38,0)</f>
        <v>0</v>
      </c>
      <c r="U18" s="16">
        <f t="shared" si="2"/>
        <v>22514288.703203134</v>
      </c>
    </row>
    <row r="19" spans="1:21" x14ac:dyDescent="0.25">
      <c r="A19" s="20">
        <v>2041</v>
      </c>
      <c r="B19" s="20">
        <f t="shared" si="0"/>
        <v>69</v>
      </c>
      <c r="C19" s="20">
        <f t="shared" si="1"/>
        <v>64</v>
      </c>
      <c r="D19" s="16">
        <f>IF($A19&lt;Inputs!$B$81,(Inputs!$B$27+Inputs!$B$28)*(1+Inputs!$B$6)^($A19-Inputs!$B$80),0)</f>
        <v>0</v>
      </c>
      <c r="E19" s="16">
        <f>IF($A19&lt;Inputs!$B$82,Inputs!$B$29*(1+Inputs!$B$7)^($A19-Inputs!$B$80),0)</f>
        <v>0</v>
      </c>
      <c r="F19" s="16">
        <f>(Inputs!$B$18+Inputs!$B$20+2*Inputs!$B$21)*(1+Inputs!$B$5)^($A19-Inputs!$B$80)</f>
        <v>572077.77576675359</v>
      </c>
      <c r="G19" s="16">
        <f>Inputs!$B$18*(1+Inputs!$B$5)^($A19-Inputs!$B$80)</f>
        <v>210003.23414222602</v>
      </c>
      <c r="H19" s="16">
        <f>IF(D19=0,0,IF(MAX(D19-Inputs!$B$22-Tax!$B$4/2-F19,0)&gt;200000,Inputs!$B$24+(MAX(D19-Inputs!$B$22-Tax!$B$4/2-F19,0)-200000)*Inputs!$B$23,IF(MAX(D19-Inputs!$B$22-Tax!$B$4/2-F19,0)&gt;150000,9000+(MAX(D19-Inputs!$B$22-Tax!$B$4/2-F19,0)-150000)*0.14,IF(MAX(D19-Inputs!$B$22-Tax!$B$4/2-F19,0)&gt;100000,4000+(MAX(D19-Inputs!$B$22-Tax!$B$4/2-F19,0)-100000)*0.1,IF(MAX(D19-Inputs!$B$22-Tax!$B$4/2-F19,0)&gt;50000,1000+(MAX(D19-Inputs!$B$22-Tax!$B$4/2-F19,0)-50000)*0.06,MAX(MAX(D19-Inputs!$B$22-Tax!$B$4/2-F19,0),0)*0.02)))))</f>
        <v>0</v>
      </c>
      <c r="I19" s="16">
        <f>IF(E19=0,0,IF(MAX(E19-Inputs!$B$22-Tax!$B$4/2-G19,0)&gt;200000,Inputs!$B$24+(MAX(E19-Inputs!$B$22-Tax!$B$4/2-G19,0)-200000)*Inputs!$B$23,IF(MAX(E19-Inputs!$B$22-Tax!$B$4/2-G19,0)&gt;150000,9000+(MAX(E19-Inputs!$B$22-Tax!$B$4/2-G19,0)-150000)*0.14,IF(MAX(E19-Inputs!$B$22-Tax!$B$4/2-G19,0)&gt;100000,4000+(MAX(E19-Inputs!$B$22-Tax!$B$4/2-G19,0)-100000)*0.1,IF(MAX(E19-Inputs!$B$22-Tax!$B$4/2-G19,0)&gt;50000,1000+(MAX(E19-Inputs!$B$22-Tax!$B$4/2-G19,0)-50000)*0.06,MAX(MAX(E19-Inputs!$B$22-Tax!$B$4/2-G19,0),0)*0.02)))))</f>
        <v>0</v>
      </c>
      <c r="J19" s="16">
        <f>IF(D19&gt;0,Inputs!$B$22,0)+IF(E19&gt;0,Inputs!$B$22,0)</f>
        <v>0</v>
      </c>
      <c r="K19" s="16">
        <f>IF($A19&lt;Inputs!$B$81,Inputs!$B$31*(1+Inputs!$B$5)^($A19-Inputs!$B$80),0)</f>
        <v>0</v>
      </c>
      <c r="L19" s="16">
        <f>IF(AND($A19&gt;=Inputs!$B$83,$A19&lt;Inputs!$B$83+Inputs!$B$41),Inputs!$B$40*(1+Inputs!$B$8)^($A19-Inputs!$B$80),0)</f>
        <v>0</v>
      </c>
      <c r="M19" s="16">
        <f>IF($A19&gt;=Inputs!$B$81,Inputs!$B$32*(1+Inputs!$B$5)^($A19-Inputs!$B$80)*IF(AND(Inputs!$B$55=1,$A19&gt;Inputs!$B$84),Inputs!$B$54,1),0)</f>
        <v>1129672.5698685262</v>
      </c>
      <c r="N19" s="16">
        <f>INDEX(Medical!$J$63:$J$109,MATCH($A19,Medical!$A$63:$A$109,0))</f>
        <v>106727.07007672689</v>
      </c>
      <c r="O19" s="16">
        <f>IF($A19&gt;=Inputs!$B$81,Inputs!$B$39,0)</f>
        <v>268000</v>
      </c>
      <c r="P19" s="16">
        <f>IF(AND(Inputs!$B$58=1,$A19=Inputs!$B$57),Inputs!$B$56,0)+IF(AND(Inputs!$B$61=1,$A19&gt;=Inputs!$B$60),Inputs!$B$59,0)</f>
        <v>0</v>
      </c>
      <c r="Q19" s="16">
        <f>D19+E19-H19-I19+J19-K19-L19-M19-N19+O19+P19-IF($A19&lt;Inputs!$B$81,Inputs!$B$42,0)</f>
        <v>-968399.63994525303</v>
      </c>
      <c r="R19" s="16">
        <f t="shared" si="3"/>
        <v>22514288.703203134</v>
      </c>
      <c r="S19" s="16">
        <f>R19*Inputs!$B$35</f>
        <v>1080685.8577537504</v>
      </c>
      <c r="T19" s="16">
        <f>IF($A19=Inputs!$B$81,-Inputs!$B$38,0)</f>
        <v>0</v>
      </c>
      <c r="U19" s="16">
        <f t="shared" si="2"/>
        <v>22626574.92101163</v>
      </c>
    </row>
    <row r="20" spans="1:21" x14ac:dyDescent="0.25">
      <c r="A20" s="20">
        <v>2042</v>
      </c>
      <c r="B20" s="20">
        <f t="shared" si="0"/>
        <v>70</v>
      </c>
      <c r="C20" s="20">
        <f t="shared" si="1"/>
        <v>65</v>
      </c>
      <c r="D20" s="16">
        <f>IF($A20&lt;Inputs!$B$81,(Inputs!$B$27+Inputs!$B$28)*(1+Inputs!$B$6)^($A20-Inputs!$B$80),0)</f>
        <v>0</v>
      </c>
      <c r="E20" s="16">
        <f>IF($A20&lt;Inputs!$B$82,Inputs!$B$29*(1+Inputs!$B$7)^($A20-Inputs!$B$80),0)</f>
        <v>0</v>
      </c>
      <c r="F20" s="16">
        <f>(Inputs!$B$18+Inputs!$B$20+2*Inputs!$B$21)*(1+Inputs!$B$5)^($A20-Inputs!$B$80)</f>
        <v>586379.72016092238</v>
      </c>
      <c r="G20" s="16">
        <f>Inputs!$B$18*(1+Inputs!$B$5)^($A20-Inputs!$B$80)</f>
        <v>215253.31499578166</v>
      </c>
      <c r="H20" s="16">
        <f>IF(D20=0,0,IF(MAX(D20-Inputs!$B$22-Tax!$B$4/2-F20,0)&gt;200000,Inputs!$B$24+(MAX(D20-Inputs!$B$22-Tax!$B$4/2-F20,0)-200000)*Inputs!$B$23,IF(MAX(D20-Inputs!$B$22-Tax!$B$4/2-F20,0)&gt;150000,9000+(MAX(D20-Inputs!$B$22-Tax!$B$4/2-F20,0)-150000)*0.14,IF(MAX(D20-Inputs!$B$22-Tax!$B$4/2-F20,0)&gt;100000,4000+(MAX(D20-Inputs!$B$22-Tax!$B$4/2-F20,0)-100000)*0.1,IF(MAX(D20-Inputs!$B$22-Tax!$B$4/2-F20,0)&gt;50000,1000+(MAX(D20-Inputs!$B$22-Tax!$B$4/2-F20,0)-50000)*0.06,MAX(MAX(D20-Inputs!$B$22-Tax!$B$4/2-F20,0),0)*0.02)))))</f>
        <v>0</v>
      </c>
      <c r="I20" s="16">
        <f>IF(E20=0,0,IF(MAX(E20-Inputs!$B$22-Tax!$B$4/2-G20,0)&gt;200000,Inputs!$B$24+(MAX(E20-Inputs!$B$22-Tax!$B$4/2-G20,0)-200000)*Inputs!$B$23,IF(MAX(E20-Inputs!$B$22-Tax!$B$4/2-G20,0)&gt;150000,9000+(MAX(E20-Inputs!$B$22-Tax!$B$4/2-G20,0)-150000)*0.14,IF(MAX(E20-Inputs!$B$22-Tax!$B$4/2-G20,0)&gt;100000,4000+(MAX(E20-Inputs!$B$22-Tax!$B$4/2-G20,0)-100000)*0.1,IF(MAX(E20-Inputs!$B$22-Tax!$B$4/2-G20,0)&gt;50000,1000+(MAX(E20-Inputs!$B$22-Tax!$B$4/2-G20,0)-50000)*0.06,MAX(MAX(E20-Inputs!$B$22-Tax!$B$4/2-G20,0),0)*0.02)))))</f>
        <v>0</v>
      </c>
      <c r="J20" s="16">
        <f>IF(D20&gt;0,Inputs!$B$22,0)+IF(E20&gt;0,Inputs!$B$22,0)</f>
        <v>0</v>
      </c>
      <c r="K20" s="16">
        <f>IF($A20&lt;Inputs!$B$81,Inputs!$B$31*(1+Inputs!$B$5)^($A20-Inputs!$B$80),0)</f>
        <v>0</v>
      </c>
      <c r="L20" s="16">
        <f>IF(AND($A20&gt;=Inputs!$B$83,$A20&lt;Inputs!$B$83+Inputs!$B$41),Inputs!$B$40*(1+Inputs!$B$8)^($A20-Inputs!$B$80),0)</f>
        <v>0</v>
      </c>
      <c r="M20" s="16">
        <f>IF($A20&gt;=Inputs!$B$81,Inputs!$B$32*(1+Inputs!$B$5)^($A20-Inputs!$B$80)*IF(AND(Inputs!$B$55=1,$A20&gt;Inputs!$B$84),Inputs!$B$54,1),0)</f>
        <v>1157914.3841152391</v>
      </c>
      <c r="N20" s="16">
        <f>INDEX(Medical!$J$63:$J$109,MATCH($A20,Medical!$A$63:$A$109,0))</f>
        <v>129118.27483096196</v>
      </c>
      <c r="O20" s="16">
        <f>IF($A20&gt;=Inputs!$B$81,Inputs!$B$39,0)</f>
        <v>268000</v>
      </c>
      <c r="P20" s="16">
        <f>IF(AND(Inputs!$B$58=1,$A20=Inputs!$B$57),Inputs!$B$56,0)+IF(AND(Inputs!$B$61=1,$A20&gt;=Inputs!$B$60),Inputs!$B$59,0)</f>
        <v>0</v>
      </c>
      <c r="Q20" s="16">
        <f>D20+E20-H20-I20+J20-K20-L20-M20-N20+O20+P20-IF($A20&lt;Inputs!$B$81,Inputs!$B$42,0)</f>
        <v>-1019032.6589462012</v>
      </c>
      <c r="R20" s="16">
        <f t="shared" si="3"/>
        <v>22626574.92101163</v>
      </c>
      <c r="S20" s="16">
        <f>R20*Inputs!$B$35</f>
        <v>1086075.5962085582</v>
      </c>
      <c r="T20" s="16">
        <f>IF($A20=Inputs!$B$81,-Inputs!$B$38,0)</f>
        <v>0</v>
      </c>
      <c r="U20" s="16">
        <f t="shared" si="2"/>
        <v>22693617.858273987</v>
      </c>
    </row>
    <row r="21" spans="1:21" x14ac:dyDescent="0.25">
      <c r="A21" s="20">
        <v>2043</v>
      </c>
      <c r="B21" s="20">
        <f t="shared" si="0"/>
        <v>71</v>
      </c>
      <c r="C21" s="20">
        <f t="shared" si="1"/>
        <v>66</v>
      </c>
      <c r="D21" s="16">
        <f>IF($A21&lt;Inputs!$B$81,(Inputs!$B$27+Inputs!$B$28)*(1+Inputs!$B$6)^($A21-Inputs!$B$80),0)</f>
        <v>0</v>
      </c>
      <c r="E21" s="16">
        <f>IF($A21&lt;Inputs!$B$82,Inputs!$B$29*(1+Inputs!$B$7)^($A21-Inputs!$B$80),0)</f>
        <v>0</v>
      </c>
      <c r="F21" s="16">
        <f>(Inputs!$B$18+Inputs!$B$20+2*Inputs!$B$21)*(1+Inputs!$B$5)^($A21-Inputs!$B$80)</f>
        <v>601039.21316494537</v>
      </c>
      <c r="G21" s="16">
        <f>Inputs!$B$18*(1+Inputs!$B$5)^($A21-Inputs!$B$80)</f>
        <v>220634.64787067616</v>
      </c>
      <c r="H21" s="16">
        <f>IF(D21=0,0,IF(MAX(D21-Inputs!$B$22-Tax!$B$4/2-F21,0)&gt;200000,Inputs!$B$24+(MAX(D21-Inputs!$B$22-Tax!$B$4/2-F21,0)-200000)*Inputs!$B$23,IF(MAX(D21-Inputs!$B$22-Tax!$B$4/2-F21,0)&gt;150000,9000+(MAX(D21-Inputs!$B$22-Tax!$B$4/2-F21,0)-150000)*0.14,IF(MAX(D21-Inputs!$B$22-Tax!$B$4/2-F21,0)&gt;100000,4000+(MAX(D21-Inputs!$B$22-Tax!$B$4/2-F21,0)-100000)*0.1,IF(MAX(D21-Inputs!$B$22-Tax!$B$4/2-F21,0)&gt;50000,1000+(MAX(D21-Inputs!$B$22-Tax!$B$4/2-F21,0)-50000)*0.06,MAX(MAX(D21-Inputs!$B$22-Tax!$B$4/2-F21,0),0)*0.02)))))</f>
        <v>0</v>
      </c>
      <c r="I21" s="16">
        <f>IF(E21=0,0,IF(MAX(E21-Inputs!$B$22-Tax!$B$4/2-G21,0)&gt;200000,Inputs!$B$24+(MAX(E21-Inputs!$B$22-Tax!$B$4/2-G21,0)-200000)*Inputs!$B$23,IF(MAX(E21-Inputs!$B$22-Tax!$B$4/2-G21,0)&gt;150000,9000+(MAX(E21-Inputs!$B$22-Tax!$B$4/2-G21,0)-150000)*0.14,IF(MAX(E21-Inputs!$B$22-Tax!$B$4/2-G21,0)&gt;100000,4000+(MAX(E21-Inputs!$B$22-Tax!$B$4/2-G21,0)-100000)*0.1,IF(MAX(E21-Inputs!$B$22-Tax!$B$4/2-G21,0)&gt;50000,1000+(MAX(E21-Inputs!$B$22-Tax!$B$4/2-G21,0)-50000)*0.06,MAX(MAX(E21-Inputs!$B$22-Tax!$B$4/2-G21,0),0)*0.02)))))</f>
        <v>0</v>
      </c>
      <c r="J21" s="16">
        <f>IF(D21&gt;0,Inputs!$B$22,0)+IF(E21&gt;0,Inputs!$B$22,0)</f>
        <v>0</v>
      </c>
      <c r="K21" s="16">
        <f>IF($A21&lt;Inputs!$B$81,Inputs!$B$31*(1+Inputs!$B$5)^($A21-Inputs!$B$80),0)</f>
        <v>0</v>
      </c>
      <c r="L21" s="16">
        <f>IF(AND($A21&gt;=Inputs!$B$83,$A21&lt;Inputs!$B$83+Inputs!$B$41),Inputs!$B$40*(1+Inputs!$B$8)^($A21-Inputs!$B$80),0)</f>
        <v>0</v>
      </c>
      <c r="M21" s="16">
        <f>IF($A21&gt;=Inputs!$B$81,Inputs!$B$32*(1+Inputs!$B$5)^($A21-Inputs!$B$80)*IF(AND(Inputs!$B$55=1,$A21&gt;Inputs!$B$84),Inputs!$B$54,1),0)</f>
        <v>1186862.24371812</v>
      </c>
      <c r="N21" s="16">
        <f>INDEX(Medical!$J$63:$J$109,MATCH($A21,Medical!$A$63:$A$109,0))</f>
        <v>152618.39511465485</v>
      </c>
      <c r="O21" s="16">
        <f>IF($A21&gt;=Inputs!$B$81,Inputs!$B$39,0)</f>
        <v>268000</v>
      </c>
      <c r="P21" s="16">
        <f>IF(AND(Inputs!$B$58=1,$A21=Inputs!$B$57),Inputs!$B$56,0)+IF(AND(Inputs!$B$61=1,$A21&gt;=Inputs!$B$60),Inputs!$B$59,0)</f>
        <v>0</v>
      </c>
      <c r="Q21" s="16">
        <f>D21+E21-H21-I21+J21-K21-L21-M21-N21+O21+P21-IF($A21&lt;Inputs!$B$81,Inputs!$B$42,0)</f>
        <v>-1071480.6388327749</v>
      </c>
      <c r="R21" s="16">
        <f t="shared" si="3"/>
        <v>22693617.858273987</v>
      </c>
      <c r="S21" s="16">
        <f>R21*Inputs!$B$35</f>
        <v>1089293.6571971513</v>
      </c>
      <c r="T21" s="16">
        <f>IF($A21=Inputs!$B$81,-Inputs!$B$38,0)</f>
        <v>0</v>
      </c>
      <c r="U21" s="16">
        <f t="shared" si="2"/>
        <v>22711430.876638364</v>
      </c>
    </row>
    <row r="22" spans="1:21" x14ac:dyDescent="0.25">
      <c r="A22" s="20">
        <v>2044</v>
      </c>
      <c r="B22" s="20">
        <f t="shared" si="0"/>
        <v>72</v>
      </c>
      <c r="C22" s="20">
        <f t="shared" si="1"/>
        <v>67</v>
      </c>
      <c r="D22" s="16">
        <f>IF($A22&lt;Inputs!$B$81,(Inputs!$B$27+Inputs!$B$28)*(1+Inputs!$B$6)^($A22-Inputs!$B$80),0)</f>
        <v>0</v>
      </c>
      <c r="E22" s="16">
        <f>IF($A22&lt;Inputs!$B$82,Inputs!$B$29*(1+Inputs!$B$7)^($A22-Inputs!$B$80),0)</f>
        <v>0</v>
      </c>
      <c r="F22" s="16">
        <f>(Inputs!$B$18+Inputs!$B$20+2*Inputs!$B$21)*(1+Inputs!$B$5)^($A22-Inputs!$B$80)</f>
        <v>616065.19349406904</v>
      </c>
      <c r="G22" s="16">
        <f>Inputs!$B$18*(1+Inputs!$B$5)^($A22-Inputs!$B$80)</f>
        <v>226150.51406744309</v>
      </c>
      <c r="H22" s="16">
        <f>IF(D22=0,0,IF(MAX(D22-Inputs!$B$22-Tax!$B$4/2-F22,0)&gt;200000,Inputs!$B$24+(MAX(D22-Inputs!$B$22-Tax!$B$4/2-F22,0)-200000)*Inputs!$B$23,IF(MAX(D22-Inputs!$B$22-Tax!$B$4/2-F22,0)&gt;150000,9000+(MAX(D22-Inputs!$B$22-Tax!$B$4/2-F22,0)-150000)*0.14,IF(MAX(D22-Inputs!$B$22-Tax!$B$4/2-F22,0)&gt;100000,4000+(MAX(D22-Inputs!$B$22-Tax!$B$4/2-F22,0)-100000)*0.1,IF(MAX(D22-Inputs!$B$22-Tax!$B$4/2-F22,0)&gt;50000,1000+(MAX(D22-Inputs!$B$22-Tax!$B$4/2-F22,0)-50000)*0.06,MAX(MAX(D22-Inputs!$B$22-Tax!$B$4/2-F22,0),0)*0.02)))))</f>
        <v>0</v>
      </c>
      <c r="I22" s="16">
        <f>IF(E22=0,0,IF(MAX(E22-Inputs!$B$22-Tax!$B$4/2-G22,0)&gt;200000,Inputs!$B$24+(MAX(E22-Inputs!$B$22-Tax!$B$4/2-G22,0)-200000)*Inputs!$B$23,IF(MAX(E22-Inputs!$B$22-Tax!$B$4/2-G22,0)&gt;150000,9000+(MAX(E22-Inputs!$B$22-Tax!$B$4/2-G22,0)-150000)*0.14,IF(MAX(E22-Inputs!$B$22-Tax!$B$4/2-G22,0)&gt;100000,4000+(MAX(E22-Inputs!$B$22-Tax!$B$4/2-G22,0)-100000)*0.1,IF(MAX(E22-Inputs!$B$22-Tax!$B$4/2-G22,0)&gt;50000,1000+(MAX(E22-Inputs!$B$22-Tax!$B$4/2-G22,0)-50000)*0.06,MAX(MAX(E22-Inputs!$B$22-Tax!$B$4/2-G22,0),0)*0.02)))))</f>
        <v>0</v>
      </c>
      <c r="J22" s="16">
        <f>IF(D22&gt;0,Inputs!$B$22,0)+IF(E22&gt;0,Inputs!$B$22,0)</f>
        <v>0</v>
      </c>
      <c r="K22" s="16">
        <f>IF($A22&lt;Inputs!$B$81,Inputs!$B$31*(1+Inputs!$B$5)^($A22-Inputs!$B$80),0)</f>
        <v>0</v>
      </c>
      <c r="L22" s="16">
        <f>IF(AND($A22&gt;=Inputs!$B$83,$A22&lt;Inputs!$B$83+Inputs!$B$41),Inputs!$B$40*(1+Inputs!$B$8)^($A22-Inputs!$B$80),0)</f>
        <v>0</v>
      </c>
      <c r="M22" s="16">
        <f>IF($A22&gt;=Inputs!$B$81,Inputs!$B$32*(1+Inputs!$B$5)^($A22-Inputs!$B$80)*IF(AND(Inputs!$B$55=1,$A22&gt;Inputs!$B$84),Inputs!$B$54,1),0)</f>
        <v>1216533.7998110731</v>
      </c>
      <c r="N22" s="16">
        <f>INDEX(Medical!$J$63:$J$109,MATCH($A22,Medical!$A$63:$A$109,0))</f>
        <v>179034.89615033241</v>
      </c>
      <c r="O22" s="16">
        <f>IF($A22&gt;=Inputs!$B$81,Inputs!$B$39,0)</f>
        <v>268000</v>
      </c>
      <c r="P22" s="16">
        <f>IF(AND(Inputs!$B$58=1,$A22=Inputs!$B$57),Inputs!$B$56,0)+IF(AND(Inputs!$B$61=1,$A22&gt;=Inputs!$B$60),Inputs!$B$59,0)</f>
        <v>0</v>
      </c>
      <c r="Q22" s="16">
        <f>D22+E22-H22-I22+J22-K22-L22-M22-N22+O22+P22-IF($A22&lt;Inputs!$B$81,Inputs!$B$42,0)</f>
        <v>-1127568.6959614055</v>
      </c>
      <c r="R22" s="16">
        <f t="shared" si="3"/>
        <v>22711430.876638364</v>
      </c>
      <c r="S22" s="16">
        <f>R22*Inputs!$B$35</f>
        <v>1090148.6820786416</v>
      </c>
      <c r="T22" s="16">
        <f>IF($A22=Inputs!$B$81,-Inputs!$B$38,0)</f>
        <v>0</v>
      </c>
      <c r="U22" s="16">
        <f t="shared" si="2"/>
        <v>22674010.8627556</v>
      </c>
    </row>
    <row r="23" spans="1:21" x14ac:dyDescent="0.25">
      <c r="A23" s="20">
        <v>2045</v>
      </c>
      <c r="B23" s="20">
        <f t="shared" si="0"/>
        <v>73</v>
      </c>
      <c r="C23" s="20">
        <f t="shared" si="1"/>
        <v>68</v>
      </c>
      <c r="D23" s="16">
        <f>IF($A23&lt;Inputs!$B$81,(Inputs!$B$27+Inputs!$B$28)*(1+Inputs!$B$6)^($A23-Inputs!$B$80),0)</f>
        <v>0</v>
      </c>
      <c r="E23" s="16">
        <f>IF($A23&lt;Inputs!$B$82,Inputs!$B$29*(1+Inputs!$B$7)^($A23-Inputs!$B$80),0)</f>
        <v>0</v>
      </c>
      <c r="F23" s="16">
        <f>(Inputs!$B$18+Inputs!$B$20+2*Inputs!$B$21)*(1+Inputs!$B$5)^($A23-Inputs!$B$80)</f>
        <v>631466.82333142078</v>
      </c>
      <c r="G23" s="16">
        <f>Inputs!$B$18*(1+Inputs!$B$5)^($A23-Inputs!$B$80)</f>
        <v>231804.27691912916</v>
      </c>
      <c r="H23" s="16">
        <f>IF(D23=0,0,IF(MAX(D23-Inputs!$B$22-Tax!$B$4/2-F23,0)&gt;200000,Inputs!$B$24+(MAX(D23-Inputs!$B$22-Tax!$B$4/2-F23,0)-200000)*Inputs!$B$23,IF(MAX(D23-Inputs!$B$22-Tax!$B$4/2-F23,0)&gt;150000,9000+(MAX(D23-Inputs!$B$22-Tax!$B$4/2-F23,0)-150000)*0.14,IF(MAX(D23-Inputs!$B$22-Tax!$B$4/2-F23,0)&gt;100000,4000+(MAX(D23-Inputs!$B$22-Tax!$B$4/2-F23,0)-100000)*0.1,IF(MAX(D23-Inputs!$B$22-Tax!$B$4/2-F23,0)&gt;50000,1000+(MAX(D23-Inputs!$B$22-Tax!$B$4/2-F23,0)-50000)*0.06,MAX(MAX(D23-Inputs!$B$22-Tax!$B$4/2-F23,0),0)*0.02)))))</f>
        <v>0</v>
      </c>
      <c r="I23" s="16">
        <f>IF(E23=0,0,IF(MAX(E23-Inputs!$B$22-Tax!$B$4/2-G23,0)&gt;200000,Inputs!$B$24+(MAX(E23-Inputs!$B$22-Tax!$B$4/2-G23,0)-200000)*Inputs!$B$23,IF(MAX(E23-Inputs!$B$22-Tax!$B$4/2-G23,0)&gt;150000,9000+(MAX(E23-Inputs!$B$22-Tax!$B$4/2-G23,0)-150000)*0.14,IF(MAX(E23-Inputs!$B$22-Tax!$B$4/2-G23,0)&gt;100000,4000+(MAX(E23-Inputs!$B$22-Tax!$B$4/2-G23,0)-100000)*0.1,IF(MAX(E23-Inputs!$B$22-Tax!$B$4/2-G23,0)&gt;50000,1000+(MAX(E23-Inputs!$B$22-Tax!$B$4/2-G23,0)-50000)*0.06,MAX(MAX(E23-Inputs!$B$22-Tax!$B$4/2-G23,0),0)*0.02)))))</f>
        <v>0</v>
      </c>
      <c r="J23" s="16">
        <f>IF(D23&gt;0,Inputs!$B$22,0)+IF(E23&gt;0,Inputs!$B$22,0)</f>
        <v>0</v>
      </c>
      <c r="K23" s="16">
        <f>IF($A23&lt;Inputs!$B$81,Inputs!$B$31*(1+Inputs!$B$5)^($A23-Inputs!$B$80),0)</f>
        <v>0</v>
      </c>
      <c r="L23" s="16">
        <f>IF(AND($A23&gt;=Inputs!$B$83,$A23&lt;Inputs!$B$83+Inputs!$B$41),Inputs!$B$40*(1+Inputs!$B$8)^($A23-Inputs!$B$80),0)</f>
        <v>0</v>
      </c>
      <c r="M23" s="16">
        <f>IF($A23&gt;=Inputs!$B$81,Inputs!$B$32*(1+Inputs!$B$5)^($A23-Inputs!$B$80)*IF(AND(Inputs!$B$55=1,$A23&gt;Inputs!$B$84),Inputs!$B$54,1),0)</f>
        <v>1246947.1448063499</v>
      </c>
      <c r="N23" s="16">
        <f>INDEX(Medical!$J$63:$J$109,MATCH($A23,Medical!$A$63:$A$109,0))</f>
        <v>208708.27808234876</v>
      </c>
      <c r="O23" s="16">
        <f>IF($A23&gt;=Inputs!$B$81,Inputs!$B$39,0)</f>
        <v>268000</v>
      </c>
      <c r="P23" s="16">
        <f>IF(AND(Inputs!$B$58=1,$A23=Inputs!$B$57),Inputs!$B$56,0)+IF(AND(Inputs!$B$61=1,$A23&gt;=Inputs!$B$60),Inputs!$B$59,0)</f>
        <v>0</v>
      </c>
      <c r="Q23" s="16">
        <f>D23+E23-H23-I23+J23-K23-L23-M23-N23+O23+P23-IF($A23&lt;Inputs!$B$81,Inputs!$B$42,0)</f>
        <v>-1187655.4228886985</v>
      </c>
      <c r="R23" s="16">
        <f t="shared" si="3"/>
        <v>22674010.8627556</v>
      </c>
      <c r="S23" s="16">
        <f>R23*Inputs!$B$35</f>
        <v>1088352.5214122687</v>
      </c>
      <c r="T23" s="16">
        <f>IF($A23=Inputs!$B$81,-Inputs!$B$38,0)</f>
        <v>0</v>
      </c>
      <c r="U23" s="16">
        <f t="shared" si="2"/>
        <v>22574707.961279169</v>
      </c>
    </row>
    <row r="24" spans="1:21" x14ac:dyDescent="0.25">
      <c r="A24" s="20">
        <v>2046</v>
      </c>
      <c r="B24" s="20">
        <f t="shared" si="0"/>
        <v>74</v>
      </c>
      <c r="C24" s="20">
        <f t="shared" si="1"/>
        <v>69</v>
      </c>
      <c r="D24" s="16">
        <f>IF($A24&lt;Inputs!$B$81,(Inputs!$B$27+Inputs!$B$28)*(1+Inputs!$B$6)^($A24-Inputs!$B$80),0)</f>
        <v>0</v>
      </c>
      <c r="E24" s="16">
        <f>IF($A24&lt;Inputs!$B$82,Inputs!$B$29*(1+Inputs!$B$7)^($A24-Inputs!$B$80),0)</f>
        <v>0</v>
      </c>
      <c r="F24" s="16">
        <f>(Inputs!$B$18+Inputs!$B$20+2*Inputs!$B$21)*(1+Inputs!$B$5)^($A24-Inputs!$B$80)</f>
        <v>647253.49391470628</v>
      </c>
      <c r="G24" s="16">
        <f>Inputs!$B$18*(1+Inputs!$B$5)^($A24-Inputs!$B$80)</f>
        <v>237599.38384210735</v>
      </c>
      <c r="H24" s="16">
        <f>IF(D24=0,0,IF(MAX(D24-Inputs!$B$22-Tax!$B$4/2-F24,0)&gt;200000,Inputs!$B$24+(MAX(D24-Inputs!$B$22-Tax!$B$4/2-F24,0)-200000)*Inputs!$B$23,IF(MAX(D24-Inputs!$B$22-Tax!$B$4/2-F24,0)&gt;150000,9000+(MAX(D24-Inputs!$B$22-Tax!$B$4/2-F24,0)-150000)*0.14,IF(MAX(D24-Inputs!$B$22-Tax!$B$4/2-F24,0)&gt;100000,4000+(MAX(D24-Inputs!$B$22-Tax!$B$4/2-F24,0)-100000)*0.1,IF(MAX(D24-Inputs!$B$22-Tax!$B$4/2-F24,0)&gt;50000,1000+(MAX(D24-Inputs!$B$22-Tax!$B$4/2-F24,0)-50000)*0.06,MAX(MAX(D24-Inputs!$B$22-Tax!$B$4/2-F24,0),0)*0.02)))))</f>
        <v>0</v>
      </c>
      <c r="I24" s="16">
        <f>IF(E24=0,0,IF(MAX(E24-Inputs!$B$22-Tax!$B$4/2-G24,0)&gt;200000,Inputs!$B$24+(MAX(E24-Inputs!$B$22-Tax!$B$4/2-G24,0)-200000)*Inputs!$B$23,IF(MAX(E24-Inputs!$B$22-Tax!$B$4/2-G24,0)&gt;150000,9000+(MAX(E24-Inputs!$B$22-Tax!$B$4/2-G24,0)-150000)*0.14,IF(MAX(E24-Inputs!$B$22-Tax!$B$4/2-G24,0)&gt;100000,4000+(MAX(E24-Inputs!$B$22-Tax!$B$4/2-G24,0)-100000)*0.1,IF(MAX(E24-Inputs!$B$22-Tax!$B$4/2-G24,0)&gt;50000,1000+(MAX(E24-Inputs!$B$22-Tax!$B$4/2-G24,0)-50000)*0.06,MAX(MAX(E24-Inputs!$B$22-Tax!$B$4/2-G24,0),0)*0.02)))))</f>
        <v>0</v>
      </c>
      <c r="J24" s="16">
        <f>IF(D24&gt;0,Inputs!$B$22,0)+IF(E24&gt;0,Inputs!$B$22,0)</f>
        <v>0</v>
      </c>
      <c r="K24" s="16">
        <f>IF($A24&lt;Inputs!$B$81,Inputs!$B$31*(1+Inputs!$B$5)^($A24-Inputs!$B$80),0)</f>
        <v>0</v>
      </c>
      <c r="L24" s="16">
        <f>IF(AND($A24&gt;=Inputs!$B$83,$A24&lt;Inputs!$B$83+Inputs!$B$41),Inputs!$B$40*(1+Inputs!$B$8)^($A24-Inputs!$B$80),0)</f>
        <v>0</v>
      </c>
      <c r="M24" s="16">
        <f>IF($A24&gt;=Inputs!$B$81,Inputs!$B$32*(1+Inputs!$B$5)^($A24-Inputs!$B$80)*IF(AND(Inputs!$B$55=1,$A24&gt;Inputs!$B$84),Inputs!$B$54,1),0)</f>
        <v>1278120.8234265086</v>
      </c>
      <c r="N24" s="16">
        <f>INDEX(Medical!$J$63:$J$109,MATCH($A24,Medical!$A$63:$A$109,0))</f>
        <v>242018.30552795361</v>
      </c>
      <c r="O24" s="16">
        <f>IF($A24&gt;=Inputs!$B$81,Inputs!$B$39,0)</f>
        <v>268000</v>
      </c>
      <c r="P24" s="16">
        <f>IF(AND(Inputs!$B$58=1,$A24=Inputs!$B$57),Inputs!$B$56,0)+IF(AND(Inputs!$B$61=1,$A24&gt;=Inputs!$B$60),Inputs!$B$59,0)</f>
        <v>0</v>
      </c>
      <c r="Q24" s="16">
        <f>D24+E24-H24-I24+J24-K24-L24-M24-N24+O24+P24-IF($A24&lt;Inputs!$B$81,Inputs!$B$42,0)</f>
        <v>-1252139.1289544622</v>
      </c>
      <c r="R24" s="16">
        <f t="shared" si="3"/>
        <v>22574707.961279169</v>
      </c>
      <c r="S24" s="16">
        <f>R24*Inputs!$B$35</f>
        <v>1083585.9821414002</v>
      </c>
      <c r="T24" s="16">
        <f>IF($A24=Inputs!$B$81,-Inputs!$B$38,0)</f>
        <v>0</v>
      </c>
      <c r="U24" s="16">
        <f t="shared" si="2"/>
        <v>22406154.814466108</v>
      </c>
    </row>
    <row r="25" spans="1:21" x14ac:dyDescent="0.25">
      <c r="A25" s="20">
        <v>2047</v>
      </c>
      <c r="B25" s="20">
        <f t="shared" si="0"/>
        <v>75</v>
      </c>
      <c r="C25" s="20">
        <f t="shared" si="1"/>
        <v>70</v>
      </c>
      <c r="D25" s="16">
        <f>IF($A25&lt;Inputs!$B$81,(Inputs!$B$27+Inputs!$B$28)*(1+Inputs!$B$6)^($A25-Inputs!$B$80),0)</f>
        <v>0</v>
      </c>
      <c r="E25" s="16">
        <f>IF($A25&lt;Inputs!$B$82,Inputs!$B$29*(1+Inputs!$B$7)^($A25-Inputs!$B$80),0)</f>
        <v>0</v>
      </c>
      <c r="F25" s="16">
        <f>(Inputs!$B$18+Inputs!$B$20+2*Inputs!$B$21)*(1+Inputs!$B$5)^($A25-Inputs!$B$80)</f>
        <v>663434.83126257383</v>
      </c>
      <c r="G25" s="16">
        <f>Inputs!$B$18*(1+Inputs!$B$5)^($A25-Inputs!$B$80)</f>
        <v>243539.36843816002</v>
      </c>
      <c r="H25" s="16">
        <f>IF(D25=0,0,IF(MAX(D25-Inputs!$B$22-Tax!$B$4/2-F25,0)&gt;200000,Inputs!$B$24+(MAX(D25-Inputs!$B$22-Tax!$B$4/2-F25,0)-200000)*Inputs!$B$23,IF(MAX(D25-Inputs!$B$22-Tax!$B$4/2-F25,0)&gt;150000,9000+(MAX(D25-Inputs!$B$22-Tax!$B$4/2-F25,0)-150000)*0.14,IF(MAX(D25-Inputs!$B$22-Tax!$B$4/2-F25,0)&gt;100000,4000+(MAX(D25-Inputs!$B$22-Tax!$B$4/2-F25,0)-100000)*0.1,IF(MAX(D25-Inputs!$B$22-Tax!$B$4/2-F25,0)&gt;50000,1000+(MAX(D25-Inputs!$B$22-Tax!$B$4/2-F25,0)-50000)*0.06,MAX(MAX(D25-Inputs!$B$22-Tax!$B$4/2-F25,0),0)*0.02)))))</f>
        <v>0</v>
      </c>
      <c r="I25" s="16">
        <f>IF(E25=0,0,IF(MAX(E25-Inputs!$B$22-Tax!$B$4/2-G25,0)&gt;200000,Inputs!$B$24+(MAX(E25-Inputs!$B$22-Tax!$B$4/2-G25,0)-200000)*Inputs!$B$23,IF(MAX(E25-Inputs!$B$22-Tax!$B$4/2-G25,0)&gt;150000,9000+(MAX(E25-Inputs!$B$22-Tax!$B$4/2-G25,0)-150000)*0.14,IF(MAX(E25-Inputs!$B$22-Tax!$B$4/2-G25,0)&gt;100000,4000+(MAX(E25-Inputs!$B$22-Tax!$B$4/2-G25,0)-100000)*0.1,IF(MAX(E25-Inputs!$B$22-Tax!$B$4/2-G25,0)&gt;50000,1000+(MAX(E25-Inputs!$B$22-Tax!$B$4/2-G25,0)-50000)*0.06,MAX(MAX(E25-Inputs!$B$22-Tax!$B$4/2-G25,0),0)*0.02)))))</f>
        <v>0</v>
      </c>
      <c r="J25" s="16">
        <f>IF(D25&gt;0,Inputs!$B$22,0)+IF(E25&gt;0,Inputs!$B$22,0)</f>
        <v>0</v>
      </c>
      <c r="K25" s="16">
        <f>IF($A25&lt;Inputs!$B$81,Inputs!$B$31*(1+Inputs!$B$5)^($A25-Inputs!$B$80),0)</f>
        <v>0</v>
      </c>
      <c r="L25" s="16">
        <f>IF(AND($A25&gt;=Inputs!$B$83,$A25&lt;Inputs!$B$83+Inputs!$B$41),Inputs!$B$40*(1+Inputs!$B$8)^($A25-Inputs!$B$80),0)</f>
        <v>0</v>
      </c>
      <c r="M25" s="16">
        <f>IF($A25&gt;=Inputs!$B$81,Inputs!$B$32*(1+Inputs!$B$5)^($A25-Inputs!$B$80)*IF(AND(Inputs!$B$55=1,$A25&gt;Inputs!$B$84),Inputs!$B$54,1),0)</f>
        <v>1310073.844012171</v>
      </c>
      <c r="N25" s="16">
        <f>INDEX(Medical!$J$63:$J$109,MATCH($A25,Medical!$A$63:$A$109,0))</f>
        <v>279388.52389267285</v>
      </c>
      <c r="O25" s="16">
        <f>IF($A25&gt;=Inputs!$B$81,Inputs!$B$39,0)</f>
        <v>268000</v>
      </c>
      <c r="P25" s="16">
        <f>IF(AND(Inputs!$B$58=1,$A25=Inputs!$B$57),Inputs!$B$56,0)+IF(AND(Inputs!$B$61=1,$A25&gt;=Inputs!$B$60),Inputs!$B$59,0)</f>
        <v>0</v>
      </c>
      <c r="Q25" s="16">
        <f>D25+E25-H25-I25+J25-K25-L25-M25-N25+O25+P25-IF($A25&lt;Inputs!$B$81,Inputs!$B$42,0)</f>
        <v>-1321462.3679048438</v>
      </c>
      <c r="R25" s="16">
        <f t="shared" si="3"/>
        <v>22406154.814466108</v>
      </c>
      <c r="S25" s="16">
        <f>R25*Inputs!$B$35</f>
        <v>1075495.4310943731</v>
      </c>
      <c r="T25" s="16">
        <f>IF($A25=Inputs!$B$81,-Inputs!$B$38,0)</f>
        <v>0</v>
      </c>
      <c r="U25" s="16">
        <f t="shared" si="2"/>
        <v>22160187.87765564</v>
      </c>
    </row>
    <row r="26" spans="1:21" x14ac:dyDescent="0.25">
      <c r="A26" s="20">
        <v>2048</v>
      </c>
      <c r="B26" s="20">
        <f t="shared" si="0"/>
        <v>76</v>
      </c>
      <c r="C26" s="20">
        <f t="shared" si="1"/>
        <v>71</v>
      </c>
      <c r="D26" s="16">
        <f>IF($A26&lt;Inputs!$B$81,(Inputs!$B$27+Inputs!$B$28)*(1+Inputs!$B$6)^($A26-Inputs!$B$80),0)</f>
        <v>0</v>
      </c>
      <c r="E26" s="16">
        <f>IF($A26&lt;Inputs!$B$82,Inputs!$B$29*(1+Inputs!$B$7)^($A26-Inputs!$B$80),0)</f>
        <v>0</v>
      </c>
      <c r="F26" s="16">
        <f>(Inputs!$B$18+Inputs!$B$20+2*Inputs!$B$21)*(1+Inputs!$B$5)^($A26-Inputs!$B$80)</f>
        <v>680020.7020441381</v>
      </c>
      <c r="G26" s="16">
        <f>Inputs!$B$18*(1+Inputs!$B$5)^($A26-Inputs!$B$80)</f>
        <v>249627.85264911401</v>
      </c>
      <c r="H26" s="16">
        <f>IF(D26=0,0,IF(MAX(D26-Inputs!$B$22-Tax!$B$4/2-F26,0)&gt;200000,Inputs!$B$24+(MAX(D26-Inputs!$B$22-Tax!$B$4/2-F26,0)-200000)*Inputs!$B$23,IF(MAX(D26-Inputs!$B$22-Tax!$B$4/2-F26,0)&gt;150000,9000+(MAX(D26-Inputs!$B$22-Tax!$B$4/2-F26,0)-150000)*0.14,IF(MAX(D26-Inputs!$B$22-Tax!$B$4/2-F26,0)&gt;100000,4000+(MAX(D26-Inputs!$B$22-Tax!$B$4/2-F26,0)-100000)*0.1,IF(MAX(D26-Inputs!$B$22-Tax!$B$4/2-F26,0)&gt;50000,1000+(MAX(D26-Inputs!$B$22-Tax!$B$4/2-F26,0)-50000)*0.06,MAX(MAX(D26-Inputs!$B$22-Tax!$B$4/2-F26,0),0)*0.02)))))</f>
        <v>0</v>
      </c>
      <c r="I26" s="16">
        <f>IF(E26=0,0,IF(MAX(E26-Inputs!$B$22-Tax!$B$4/2-G26,0)&gt;200000,Inputs!$B$24+(MAX(E26-Inputs!$B$22-Tax!$B$4/2-G26,0)-200000)*Inputs!$B$23,IF(MAX(E26-Inputs!$B$22-Tax!$B$4/2-G26,0)&gt;150000,9000+(MAX(E26-Inputs!$B$22-Tax!$B$4/2-G26,0)-150000)*0.14,IF(MAX(E26-Inputs!$B$22-Tax!$B$4/2-G26,0)&gt;100000,4000+(MAX(E26-Inputs!$B$22-Tax!$B$4/2-G26,0)-100000)*0.1,IF(MAX(E26-Inputs!$B$22-Tax!$B$4/2-G26,0)&gt;50000,1000+(MAX(E26-Inputs!$B$22-Tax!$B$4/2-G26,0)-50000)*0.06,MAX(MAX(E26-Inputs!$B$22-Tax!$B$4/2-G26,0),0)*0.02)))))</f>
        <v>0</v>
      </c>
      <c r="J26" s="16">
        <f>IF(D26&gt;0,Inputs!$B$22,0)+IF(E26&gt;0,Inputs!$B$22,0)</f>
        <v>0</v>
      </c>
      <c r="K26" s="16">
        <f>IF($A26&lt;Inputs!$B$81,Inputs!$B$31*(1+Inputs!$B$5)^($A26-Inputs!$B$80),0)</f>
        <v>0</v>
      </c>
      <c r="L26" s="16">
        <f>IF(AND($A26&gt;=Inputs!$B$83,$A26&lt;Inputs!$B$83+Inputs!$B$41),Inputs!$B$40*(1+Inputs!$B$8)^($A26-Inputs!$B$80),0)</f>
        <v>0</v>
      </c>
      <c r="M26" s="16">
        <f>IF($A26&gt;=Inputs!$B$81,Inputs!$B$32*(1+Inputs!$B$5)^($A26-Inputs!$B$80)*IF(AND(Inputs!$B$55=1,$A26&gt;Inputs!$B$84),Inputs!$B$54,1),0)</f>
        <v>1342825.6901124753</v>
      </c>
      <c r="N26" s="16">
        <f>INDEX(Medical!$J$63:$J$109,MATCH($A26,Medical!$A$63:$A$109,0))</f>
        <v>317434.86122545542</v>
      </c>
      <c r="O26" s="16">
        <f>IF($A26&gt;=Inputs!$B$81,Inputs!$B$39,0)</f>
        <v>268000</v>
      </c>
      <c r="P26" s="16">
        <f>IF(AND(Inputs!$B$58=1,$A26=Inputs!$B$57),Inputs!$B$56,0)+IF(AND(Inputs!$B$61=1,$A26&gt;=Inputs!$B$60),Inputs!$B$59,0)</f>
        <v>0</v>
      </c>
      <c r="Q26" s="16">
        <f>D26+E26-H26-I26+J26-K26-L26-M26-N26+O26+P26-IF($A26&lt;Inputs!$B$81,Inputs!$B$42,0)</f>
        <v>-1392260.5513379308</v>
      </c>
      <c r="R26" s="16">
        <f t="shared" si="3"/>
        <v>22160187.87765564</v>
      </c>
      <c r="S26" s="16">
        <f>R26*Inputs!$B$35</f>
        <v>1063689.0181274707</v>
      </c>
      <c r="T26" s="16">
        <f>IF($A26=Inputs!$B$81,-Inputs!$B$38,0)</f>
        <v>0</v>
      </c>
      <c r="U26" s="16">
        <f t="shared" si="2"/>
        <v>21831616.34444518</v>
      </c>
    </row>
    <row r="27" spans="1:21" x14ac:dyDescent="0.25">
      <c r="A27" s="20">
        <v>2049</v>
      </c>
      <c r="B27" s="20">
        <f t="shared" si="0"/>
        <v>77</v>
      </c>
      <c r="C27" s="20">
        <f t="shared" si="1"/>
        <v>72</v>
      </c>
      <c r="D27" s="16">
        <f>IF($A27&lt;Inputs!$B$81,(Inputs!$B$27+Inputs!$B$28)*(1+Inputs!$B$6)^($A27-Inputs!$B$80),0)</f>
        <v>0</v>
      </c>
      <c r="E27" s="16">
        <f>IF($A27&lt;Inputs!$B$82,Inputs!$B$29*(1+Inputs!$B$7)^($A27-Inputs!$B$80),0)</f>
        <v>0</v>
      </c>
      <c r="F27" s="16">
        <f>(Inputs!$B$18+Inputs!$B$20+2*Inputs!$B$21)*(1+Inputs!$B$5)^($A27-Inputs!$B$80)</f>
        <v>697021.21959524159</v>
      </c>
      <c r="G27" s="16">
        <f>Inputs!$B$18*(1+Inputs!$B$5)^($A27-Inputs!$B$80)</f>
        <v>255868.54896534188</v>
      </c>
      <c r="H27" s="16">
        <f>IF(D27=0,0,IF(MAX(D27-Inputs!$B$22-Tax!$B$4/2-F27,0)&gt;200000,Inputs!$B$24+(MAX(D27-Inputs!$B$22-Tax!$B$4/2-F27,0)-200000)*Inputs!$B$23,IF(MAX(D27-Inputs!$B$22-Tax!$B$4/2-F27,0)&gt;150000,9000+(MAX(D27-Inputs!$B$22-Tax!$B$4/2-F27,0)-150000)*0.14,IF(MAX(D27-Inputs!$B$22-Tax!$B$4/2-F27,0)&gt;100000,4000+(MAX(D27-Inputs!$B$22-Tax!$B$4/2-F27,0)-100000)*0.1,IF(MAX(D27-Inputs!$B$22-Tax!$B$4/2-F27,0)&gt;50000,1000+(MAX(D27-Inputs!$B$22-Tax!$B$4/2-F27,0)-50000)*0.06,MAX(MAX(D27-Inputs!$B$22-Tax!$B$4/2-F27,0),0)*0.02)))))</f>
        <v>0</v>
      </c>
      <c r="I27" s="16">
        <f>IF(E27=0,0,IF(MAX(E27-Inputs!$B$22-Tax!$B$4/2-G27,0)&gt;200000,Inputs!$B$24+(MAX(E27-Inputs!$B$22-Tax!$B$4/2-G27,0)-200000)*Inputs!$B$23,IF(MAX(E27-Inputs!$B$22-Tax!$B$4/2-G27,0)&gt;150000,9000+(MAX(E27-Inputs!$B$22-Tax!$B$4/2-G27,0)-150000)*0.14,IF(MAX(E27-Inputs!$B$22-Tax!$B$4/2-G27,0)&gt;100000,4000+(MAX(E27-Inputs!$B$22-Tax!$B$4/2-G27,0)-100000)*0.1,IF(MAX(E27-Inputs!$B$22-Tax!$B$4/2-G27,0)&gt;50000,1000+(MAX(E27-Inputs!$B$22-Tax!$B$4/2-G27,0)-50000)*0.06,MAX(MAX(E27-Inputs!$B$22-Tax!$B$4/2-G27,0),0)*0.02)))))</f>
        <v>0</v>
      </c>
      <c r="J27" s="16">
        <f>IF(D27&gt;0,Inputs!$B$22,0)+IF(E27&gt;0,Inputs!$B$22,0)</f>
        <v>0</v>
      </c>
      <c r="K27" s="16">
        <f>IF($A27&lt;Inputs!$B$81,Inputs!$B$31*(1+Inputs!$B$5)^($A27-Inputs!$B$80),0)</f>
        <v>0</v>
      </c>
      <c r="L27" s="16">
        <f>IF(AND($A27&gt;=Inputs!$B$83,$A27&lt;Inputs!$B$83+Inputs!$B$41),Inputs!$B$40*(1+Inputs!$B$8)^($A27-Inputs!$B$80),0)</f>
        <v>0</v>
      </c>
      <c r="M27" s="16">
        <f>IF($A27&gt;=Inputs!$B$81,Inputs!$B$32*(1+Inputs!$B$5)^($A27-Inputs!$B$80)*IF(AND(Inputs!$B$55=1,$A27&gt;Inputs!$B$84),Inputs!$B$54,1),0)</f>
        <v>1376396.3323652872</v>
      </c>
      <c r="N27" s="16">
        <f>INDEX(Medical!$J$63:$J$109,MATCH($A27,Medical!$A$63:$A$109,0))</f>
        <v>359733.95381528605</v>
      </c>
      <c r="O27" s="16">
        <f>IF($A27&gt;=Inputs!$B$81,Inputs!$B$39,0)</f>
        <v>268000</v>
      </c>
      <c r="P27" s="16">
        <f>IF(AND(Inputs!$B$58=1,$A27=Inputs!$B$57),Inputs!$B$56,0)+IF(AND(Inputs!$B$61=1,$A27&gt;=Inputs!$B$60),Inputs!$B$59,0)</f>
        <v>0</v>
      </c>
      <c r="Q27" s="16">
        <f>D27+E27-H27-I27+J27-K27-L27-M27-N27+O27+P27-IF($A27&lt;Inputs!$B$81,Inputs!$B$42,0)</f>
        <v>-1468130.2861805733</v>
      </c>
      <c r="R27" s="16">
        <f t="shared" si="3"/>
        <v>21831616.34444518</v>
      </c>
      <c r="S27" s="16">
        <f>R27*Inputs!$B$35</f>
        <v>1047917.5845333687</v>
      </c>
      <c r="T27" s="16">
        <f>IF($A27=Inputs!$B$81,-Inputs!$B$38,0)</f>
        <v>0</v>
      </c>
      <c r="U27" s="16">
        <f t="shared" si="2"/>
        <v>21411403.642797973</v>
      </c>
    </row>
    <row r="28" spans="1:21" x14ac:dyDescent="0.25">
      <c r="A28" s="20">
        <v>2050</v>
      </c>
      <c r="B28" s="20">
        <f t="shared" si="0"/>
        <v>78</v>
      </c>
      <c r="C28" s="20">
        <f t="shared" si="1"/>
        <v>73</v>
      </c>
      <c r="D28" s="16">
        <f>IF($A28&lt;Inputs!$B$81,(Inputs!$B$27+Inputs!$B$28)*(1+Inputs!$B$6)^($A28-Inputs!$B$80),0)</f>
        <v>0</v>
      </c>
      <c r="E28" s="16">
        <f>IF($A28&lt;Inputs!$B$82,Inputs!$B$29*(1+Inputs!$B$7)^($A28-Inputs!$B$80),0)</f>
        <v>0</v>
      </c>
      <c r="F28" s="16">
        <f>(Inputs!$B$18+Inputs!$B$20+2*Inputs!$B$21)*(1+Inputs!$B$5)^($A28-Inputs!$B$80)</f>
        <v>714446.75008512265</v>
      </c>
      <c r="G28" s="16">
        <f>Inputs!$B$18*(1+Inputs!$B$5)^($A28-Inputs!$B$80)</f>
        <v>262265.26268947538</v>
      </c>
      <c r="H28" s="16">
        <f>IF(D28=0,0,IF(MAX(D28-Inputs!$B$22-Tax!$B$4/2-F28,0)&gt;200000,Inputs!$B$24+(MAX(D28-Inputs!$B$22-Tax!$B$4/2-F28,0)-200000)*Inputs!$B$23,IF(MAX(D28-Inputs!$B$22-Tax!$B$4/2-F28,0)&gt;150000,9000+(MAX(D28-Inputs!$B$22-Tax!$B$4/2-F28,0)-150000)*0.14,IF(MAX(D28-Inputs!$B$22-Tax!$B$4/2-F28,0)&gt;100000,4000+(MAX(D28-Inputs!$B$22-Tax!$B$4/2-F28,0)-100000)*0.1,IF(MAX(D28-Inputs!$B$22-Tax!$B$4/2-F28,0)&gt;50000,1000+(MAX(D28-Inputs!$B$22-Tax!$B$4/2-F28,0)-50000)*0.06,MAX(MAX(D28-Inputs!$B$22-Tax!$B$4/2-F28,0),0)*0.02)))))</f>
        <v>0</v>
      </c>
      <c r="I28" s="16">
        <f>IF(E28=0,0,IF(MAX(E28-Inputs!$B$22-Tax!$B$4/2-G28,0)&gt;200000,Inputs!$B$24+(MAX(E28-Inputs!$B$22-Tax!$B$4/2-G28,0)-200000)*Inputs!$B$23,IF(MAX(E28-Inputs!$B$22-Tax!$B$4/2-G28,0)&gt;150000,9000+(MAX(E28-Inputs!$B$22-Tax!$B$4/2-G28,0)-150000)*0.14,IF(MAX(E28-Inputs!$B$22-Tax!$B$4/2-G28,0)&gt;100000,4000+(MAX(E28-Inputs!$B$22-Tax!$B$4/2-G28,0)-100000)*0.1,IF(MAX(E28-Inputs!$B$22-Tax!$B$4/2-G28,0)&gt;50000,1000+(MAX(E28-Inputs!$B$22-Tax!$B$4/2-G28,0)-50000)*0.06,MAX(MAX(E28-Inputs!$B$22-Tax!$B$4/2-G28,0),0)*0.02)))))</f>
        <v>0</v>
      </c>
      <c r="J28" s="16">
        <f>IF(D28&gt;0,Inputs!$B$22,0)+IF(E28&gt;0,Inputs!$B$22,0)</f>
        <v>0</v>
      </c>
      <c r="K28" s="16">
        <f>IF($A28&lt;Inputs!$B$81,Inputs!$B$31*(1+Inputs!$B$5)^($A28-Inputs!$B$80),0)</f>
        <v>0</v>
      </c>
      <c r="L28" s="16">
        <f>IF(AND($A28&gt;=Inputs!$B$83,$A28&lt;Inputs!$B$83+Inputs!$B$41),Inputs!$B$40*(1+Inputs!$B$8)^($A28-Inputs!$B$80),0)</f>
        <v>0</v>
      </c>
      <c r="M28" s="16">
        <f>IF($A28&gt;=Inputs!$B$81,Inputs!$B$32*(1+Inputs!$B$5)^($A28-Inputs!$B$80)*IF(AND(Inputs!$B$55=1,$A28&gt;Inputs!$B$84),Inputs!$B$54,1),0)</f>
        <v>1410806.2406744193</v>
      </c>
      <c r="N28" s="16">
        <f>INDEX(Medical!$J$63:$J$109,MATCH($A28,Medical!$A$63:$A$109,0))</f>
        <v>406746.4728097815</v>
      </c>
      <c r="O28" s="16">
        <f>IF($A28&gt;=Inputs!$B$81,Inputs!$B$39,0)</f>
        <v>268000</v>
      </c>
      <c r="P28" s="16">
        <f>IF(AND(Inputs!$B$58=1,$A28=Inputs!$B$57),Inputs!$B$56,0)+IF(AND(Inputs!$B$61=1,$A28&gt;=Inputs!$B$60),Inputs!$B$59,0)</f>
        <v>0</v>
      </c>
      <c r="Q28" s="16">
        <f>D28+E28-H28-I28+J28-K28-L28-M28-N28+O28+P28-IF($A28&lt;Inputs!$B$81,Inputs!$B$42,0)</f>
        <v>-1549552.7134842009</v>
      </c>
      <c r="R28" s="16">
        <f t="shared" si="3"/>
        <v>21411403.642797973</v>
      </c>
      <c r="S28" s="16">
        <f>R28*Inputs!$B$35</f>
        <v>1027747.3748543027</v>
      </c>
      <c r="T28" s="16">
        <f>IF($A28=Inputs!$B$81,-Inputs!$B$38,0)</f>
        <v>0</v>
      </c>
      <c r="U28" s="16">
        <f t="shared" si="2"/>
        <v>20889598.304168075</v>
      </c>
    </row>
    <row r="29" spans="1:21" x14ac:dyDescent="0.25">
      <c r="A29" s="20">
        <v>2051</v>
      </c>
      <c r="B29" s="20">
        <f t="shared" si="0"/>
        <v>79</v>
      </c>
      <c r="C29" s="20">
        <f t="shared" si="1"/>
        <v>74</v>
      </c>
      <c r="D29" s="16">
        <f>IF($A29&lt;Inputs!$B$81,(Inputs!$B$27+Inputs!$B$28)*(1+Inputs!$B$6)^($A29-Inputs!$B$80),0)</f>
        <v>0</v>
      </c>
      <c r="E29" s="16">
        <f>IF($A29&lt;Inputs!$B$82,Inputs!$B$29*(1+Inputs!$B$7)^($A29-Inputs!$B$80),0)</f>
        <v>0</v>
      </c>
      <c r="F29" s="16">
        <f>(Inputs!$B$18+Inputs!$B$20+2*Inputs!$B$21)*(1+Inputs!$B$5)^($A29-Inputs!$B$80)</f>
        <v>732307.91883725056</v>
      </c>
      <c r="G29" s="16">
        <f>Inputs!$B$18*(1+Inputs!$B$5)^($A29-Inputs!$B$80)</f>
        <v>268821.89425671223</v>
      </c>
      <c r="H29" s="16">
        <f>IF(D29=0,0,IF(MAX(D29-Inputs!$B$22-Tax!$B$4/2-F29,0)&gt;200000,Inputs!$B$24+(MAX(D29-Inputs!$B$22-Tax!$B$4/2-F29,0)-200000)*Inputs!$B$23,IF(MAX(D29-Inputs!$B$22-Tax!$B$4/2-F29,0)&gt;150000,9000+(MAX(D29-Inputs!$B$22-Tax!$B$4/2-F29,0)-150000)*0.14,IF(MAX(D29-Inputs!$B$22-Tax!$B$4/2-F29,0)&gt;100000,4000+(MAX(D29-Inputs!$B$22-Tax!$B$4/2-F29,0)-100000)*0.1,IF(MAX(D29-Inputs!$B$22-Tax!$B$4/2-F29,0)&gt;50000,1000+(MAX(D29-Inputs!$B$22-Tax!$B$4/2-F29,0)-50000)*0.06,MAX(MAX(D29-Inputs!$B$22-Tax!$B$4/2-F29,0),0)*0.02)))))</f>
        <v>0</v>
      </c>
      <c r="I29" s="16">
        <f>IF(E29=0,0,IF(MAX(E29-Inputs!$B$22-Tax!$B$4/2-G29,0)&gt;200000,Inputs!$B$24+(MAX(E29-Inputs!$B$22-Tax!$B$4/2-G29,0)-200000)*Inputs!$B$23,IF(MAX(E29-Inputs!$B$22-Tax!$B$4/2-G29,0)&gt;150000,9000+(MAX(E29-Inputs!$B$22-Tax!$B$4/2-G29,0)-150000)*0.14,IF(MAX(E29-Inputs!$B$22-Tax!$B$4/2-G29,0)&gt;100000,4000+(MAX(E29-Inputs!$B$22-Tax!$B$4/2-G29,0)-100000)*0.1,IF(MAX(E29-Inputs!$B$22-Tax!$B$4/2-G29,0)&gt;50000,1000+(MAX(E29-Inputs!$B$22-Tax!$B$4/2-G29,0)-50000)*0.06,MAX(MAX(E29-Inputs!$B$22-Tax!$B$4/2-G29,0),0)*0.02)))))</f>
        <v>0</v>
      </c>
      <c r="J29" s="16">
        <f>IF(D29&gt;0,Inputs!$B$22,0)+IF(E29&gt;0,Inputs!$B$22,0)</f>
        <v>0</v>
      </c>
      <c r="K29" s="16">
        <f>IF($A29&lt;Inputs!$B$81,Inputs!$B$31*(1+Inputs!$B$5)^($A29-Inputs!$B$80),0)</f>
        <v>0</v>
      </c>
      <c r="L29" s="16">
        <f>IF(AND($A29&gt;=Inputs!$B$83,$A29&lt;Inputs!$B$83+Inputs!$B$41),Inputs!$B$40*(1+Inputs!$B$8)^($A29-Inputs!$B$80),0)</f>
        <v>0</v>
      </c>
      <c r="M29" s="16">
        <f>IF($A29&gt;=Inputs!$B$81,Inputs!$B$32*(1+Inputs!$B$5)^($A29-Inputs!$B$80)*IF(AND(Inputs!$B$55=1,$A29&gt;Inputs!$B$84),Inputs!$B$54,1),0)</f>
        <v>1446076.3966912797</v>
      </c>
      <c r="N29" s="16">
        <f>INDEX(Medical!$J$63:$J$109,MATCH($A29,Medical!$A$63:$A$109,0))</f>
        <v>458982.99832589674</v>
      </c>
      <c r="O29" s="16">
        <f>IF($A29&gt;=Inputs!$B$81,Inputs!$B$39,0)</f>
        <v>268000</v>
      </c>
      <c r="P29" s="16">
        <f>IF(AND(Inputs!$B$58=1,$A29=Inputs!$B$57),Inputs!$B$56,0)+IF(AND(Inputs!$B$61=1,$A29&gt;=Inputs!$B$60),Inputs!$B$59,0)</f>
        <v>0</v>
      </c>
      <c r="Q29" s="16">
        <f>D29+E29-H29-I29+J29-K29-L29-M29-N29+O29+P29-IF($A29&lt;Inputs!$B$81,Inputs!$B$42,0)</f>
        <v>-1637059.3950171764</v>
      </c>
      <c r="R29" s="16">
        <f t="shared" si="3"/>
        <v>20889598.304168075</v>
      </c>
      <c r="S29" s="16">
        <f>R29*Inputs!$B$35</f>
        <v>1002700.7186000677</v>
      </c>
      <c r="T29" s="16">
        <f>IF($A29=Inputs!$B$81,-Inputs!$B$38,0)</f>
        <v>0</v>
      </c>
      <c r="U29" s="16">
        <f t="shared" si="2"/>
        <v>20255239.627750967</v>
      </c>
    </row>
    <row r="30" spans="1:21" x14ac:dyDescent="0.25">
      <c r="A30" s="20">
        <v>2052</v>
      </c>
      <c r="B30" s="20">
        <f t="shared" si="0"/>
        <v>80</v>
      </c>
      <c r="C30" s="20">
        <f t="shared" si="1"/>
        <v>75</v>
      </c>
      <c r="D30" s="16">
        <f>IF($A30&lt;Inputs!$B$81,(Inputs!$B$27+Inputs!$B$28)*(1+Inputs!$B$6)^($A30-Inputs!$B$80),0)</f>
        <v>0</v>
      </c>
      <c r="E30" s="16">
        <f>IF($A30&lt;Inputs!$B$82,Inputs!$B$29*(1+Inputs!$B$7)^($A30-Inputs!$B$80),0)</f>
        <v>0</v>
      </c>
      <c r="F30" s="16">
        <f>(Inputs!$B$18+Inputs!$B$20+2*Inputs!$B$21)*(1+Inputs!$B$5)^($A30-Inputs!$B$80)</f>
        <v>750615.61680818175</v>
      </c>
      <c r="G30" s="16">
        <f>Inputs!$B$18*(1+Inputs!$B$5)^($A30-Inputs!$B$80)</f>
        <v>275542.44161313004</v>
      </c>
      <c r="H30" s="16">
        <f>IF(D30=0,0,IF(MAX(D30-Inputs!$B$22-Tax!$B$4/2-F30,0)&gt;200000,Inputs!$B$24+(MAX(D30-Inputs!$B$22-Tax!$B$4/2-F30,0)-200000)*Inputs!$B$23,IF(MAX(D30-Inputs!$B$22-Tax!$B$4/2-F30,0)&gt;150000,9000+(MAX(D30-Inputs!$B$22-Tax!$B$4/2-F30,0)-150000)*0.14,IF(MAX(D30-Inputs!$B$22-Tax!$B$4/2-F30,0)&gt;100000,4000+(MAX(D30-Inputs!$B$22-Tax!$B$4/2-F30,0)-100000)*0.1,IF(MAX(D30-Inputs!$B$22-Tax!$B$4/2-F30,0)&gt;50000,1000+(MAX(D30-Inputs!$B$22-Tax!$B$4/2-F30,0)-50000)*0.06,MAX(MAX(D30-Inputs!$B$22-Tax!$B$4/2-F30,0),0)*0.02)))))</f>
        <v>0</v>
      </c>
      <c r="I30" s="16">
        <f>IF(E30=0,0,IF(MAX(E30-Inputs!$B$22-Tax!$B$4/2-G30,0)&gt;200000,Inputs!$B$24+(MAX(E30-Inputs!$B$22-Tax!$B$4/2-G30,0)-200000)*Inputs!$B$23,IF(MAX(E30-Inputs!$B$22-Tax!$B$4/2-G30,0)&gt;150000,9000+(MAX(E30-Inputs!$B$22-Tax!$B$4/2-G30,0)-150000)*0.14,IF(MAX(E30-Inputs!$B$22-Tax!$B$4/2-G30,0)&gt;100000,4000+(MAX(E30-Inputs!$B$22-Tax!$B$4/2-G30,0)-100000)*0.1,IF(MAX(E30-Inputs!$B$22-Tax!$B$4/2-G30,0)&gt;50000,1000+(MAX(E30-Inputs!$B$22-Tax!$B$4/2-G30,0)-50000)*0.06,MAX(MAX(E30-Inputs!$B$22-Tax!$B$4/2-G30,0),0)*0.02)))))</f>
        <v>0</v>
      </c>
      <c r="J30" s="16">
        <f>IF(D30&gt;0,Inputs!$B$22,0)+IF(E30&gt;0,Inputs!$B$22,0)</f>
        <v>0</v>
      </c>
      <c r="K30" s="16">
        <f>IF($A30&lt;Inputs!$B$81,Inputs!$B$31*(1+Inputs!$B$5)^($A30-Inputs!$B$80),0)</f>
        <v>0</v>
      </c>
      <c r="L30" s="16">
        <f>IF(AND($A30&gt;=Inputs!$B$83,$A30&lt;Inputs!$B$83+Inputs!$B$41),Inputs!$B$40*(1+Inputs!$B$8)^($A30-Inputs!$B$80),0)</f>
        <v>0</v>
      </c>
      <c r="M30" s="16">
        <f>IF($A30&gt;=Inputs!$B$81,Inputs!$B$32*(1+Inputs!$B$5)^($A30-Inputs!$B$80)*IF(AND(Inputs!$B$55=1,$A30&gt;Inputs!$B$84),Inputs!$B$54,1),0)</f>
        <v>1482228.3066085614</v>
      </c>
      <c r="N30" s="16">
        <f>INDEX(Medical!$J$63:$J$109,MATCH($A30,Medical!$A$63:$A$109,0))</f>
        <v>517009.46438955533</v>
      </c>
      <c r="O30" s="16">
        <f>IF($A30&gt;=Inputs!$B$81,Inputs!$B$39,0)</f>
        <v>268000</v>
      </c>
      <c r="P30" s="16">
        <f>IF(AND(Inputs!$B$58=1,$A30=Inputs!$B$57),Inputs!$B$56,0)+IF(AND(Inputs!$B$61=1,$A30&gt;=Inputs!$B$60),Inputs!$B$59,0)</f>
        <v>0</v>
      </c>
      <c r="Q30" s="16">
        <f>D30+E30-H30-I30+J30-K30-L30-M30-N30+O30+P30-IF($A30&lt;Inputs!$B$81,Inputs!$B$42,0)</f>
        <v>-1731237.7709981168</v>
      </c>
      <c r="R30" s="16">
        <f t="shared" si="3"/>
        <v>20255239.627750967</v>
      </c>
      <c r="S30" s="16">
        <f>R30*Inputs!$B$35</f>
        <v>972251.50213204639</v>
      </c>
      <c r="T30" s="16">
        <f>IF($A30=Inputs!$B$81,-Inputs!$B$38,0)</f>
        <v>0</v>
      </c>
      <c r="U30" s="16">
        <f t="shared" si="2"/>
        <v>19496253.358884897</v>
      </c>
    </row>
    <row r="31" spans="1:21" x14ac:dyDescent="0.25">
      <c r="A31" s="20">
        <v>2053</v>
      </c>
      <c r="B31" s="20">
        <f t="shared" si="0"/>
        <v>81</v>
      </c>
      <c r="C31" s="20">
        <f t="shared" si="1"/>
        <v>76</v>
      </c>
      <c r="D31" s="16">
        <f>IF($A31&lt;Inputs!$B$81,(Inputs!$B$27+Inputs!$B$28)*(1+Inputs!$B$6)^($A31-Inputs!$B$80),0)</f>
        <v>0</v>
      </c>
      <c r="E31" s="16">
        <f>IF($A31&lt;Inputs!$B$82,Inputs!$B$29*(1+Inputs!$B$7)^($A31-Inputs!$B$80),0)</f>
        <v>0</v>
      </c>
      <c r="F31" s="16">
        <f>(Inputs!$B$18+Inputs!$B$20+2*Inputs!$B$21)*(1+Inputs!$B$5)^($A31-Inputs!$B$80)</f>
        <v>769381.00722838636</v>
      </c>
      <c r="G31" s="16">
        <f>Inputs!$B$18*(1+Inputs!$B$5)^($A31-Inputs!$B$80)</f>
        <v>282431.00265345827</v>
      </c>
      <c r="H31" s="16">
        <f>IF(D31=0,0,IF(MAX(D31-Inputs!$B$22-Tax!$B$4/2-F31,0)&gt;200000,Inputs!$B$24+(MAX(D31-Inputs!$B$22-Tax!$B$4/2-F31,0)-200000)*Inputs!$B$23,IF(MAX(D31-Inputs!$B$22-Tax!$B$4/2-F31,0)&gt;150000,9000+(MAX(D31-Inputs!$B$22-Tax!$B$4/2-F31,0)-150000)*0.14,IF(MAX(D31-Inputs!$B$22-Tax!$B$4/2-F31,0)&gt;100000,4000+(MAX(D31-Inputs!$B$22-Tax!$B$4/2-F31,0)-100000)*0.1,IF(MAX(D31-Inputs!$B$22-Tax!$B$4/2-F31,0)&gt;50000,1000+(MAX(D31-Inputs!$B$22-Tax!$B$4/2-F31,0)-50000)*0.06,MAX(MAX(D31-Inputs!$B$22-Tax!$B$4/2-F31,0),0)*0.02)))))</f>
        <v>0</v>
      </c>
      <c r="I31" s="16">
        <f>IF(E31=0,0,IF(MAX(E31-Inputs!$B$22-Tax!$B$4/2-G31,0)&gt;200000,Inputs!$B$24+(MAX(E31-Inputs!$B$22-Tax!$B$4/2-G31,0)-200000)*Inputs!$B$23,IF(MAX(E31-Inputs!$B$22-Tax!$B$4/2-G31,0)&gt;150000,9000+(MAX(E31-Inputs!$B$22-Tax!$B$4/2-G31,0)-150000)*0.14,IF(MAX(E31-Inputs!$B$22-Tax!$B$4/2-G31,0)&gt;100000,4000+(MAX(E31-Inputs!$B$22-Tax!$B$4/2-G31,0)-100000)*0.1,IF(MAX(E31-Inputs!$B$22-Tax!$B$4/2-G31,0)&gt;50000,1000+(MAX(E31-Inputs!$B$22-Tax!$B$4/2-G31,0)-50000)*0.06,MAX(MAX(E31-Inputs!$B$22-Tax!$B$4/2-G31,0),0)*0.02)))))</f>
        <v>0</v>
      </c>
      <c r="J31" s="16">
        <f>IF(D31&gt;0,Inputs!$B$22,0)+IF(E31&gt;0,Inputs!$B$22,0)</f>
        <v>0</v>
      </c>
      <c r="K31" s="16">
        <f>IF($A31&lt;Inputs!$B$81,Inputs!$B$31*(1+Inputs!$B$5)^($A31-Inputs!$B$80),0)</f>
        <v>0</v>
      </c>
      <c r="L31" s="16">
        <f>IF(AND($A31&gt;=Inputs!$B$83,$A31&lt;Inputs!$B$83+Inputs!$B$41),Inputs!$B$40*(1+Inputs!$B$8)^($A31-Inputs!$B$80),0)</f>
        <v>0</v>
      </c>
      <c r="M31" s="16">
        <f>IF($A31&gt;=Inputs!$B$81,Inputs!$B$32*(1+Inputs!$B$5)^($A31-Inputs!$B$80)*IF(AND(Inputs!$B$55=1,$A31&gt;Inputs!$B$84),Inputs!$B$54,1),0)</f>
        <v>1519284.0142737755</v>
      </c>
      <c r="N31" s="16">
        <f>INDEX(Medical!$J$63:$J$109,MATCH($A31,Medical!$A$63:$A$109,0))</f>
        <v>575236.07736100326</v>
      </c>
      <c r="O31" s="16">
        <f>IF($A31&gt;=Inputs!$B$81,Inputs!$B$39,0)</f>
        <v>268000</v>
      </c>
      <c r="P31" s="16">
        <f>IF(AND(Inputs!$B$58=1,$A31=Inputs!$B$57),Inputs!$B$56,0)+IF(AND(Inputs!$B$61=1,$A31&gt;=Inputs!$B$60),Inputs!$B$59,0)</f>
        <v>0</v>
      </c>
      <c r="Q31" s="16">
        <f>D31+E31-H31-I31+J31-K31-L31-M31-N31+O31+P31-IF($A31&lt;Inputs!$B$81,Inputs!$B$42,0)</f>
        <v>-1826520.0916347788</v>
      </c>
      <c r="R31" s="16">
        <f t="shared" si="3"/>
        <v>19496253.358884897</v>
      </c>
      <c r="S31" s="16">
        <f>R31*Inputs!$B$35</f>
        <v>935820.16122647503</v>
      </c>
      <c r="T31" s="16">
        <f>IF($A31=Inputs!$B$81,-Inputs!$B$38,0)</f>
        <v>0</v>
      </c>
      <c r="U31" s="16">
        <f t="shared" si="2"/>
        <v>18605553.428476591</v>
      </c>
    </row>
    <row r="32" spans="1:21" x14ac:dyDescent="0.25">
      <c r="A32" s="20">
        <v>2054</v>
      </c>
      <c r="B32" s="20">
        <f t="shared" si="0"/>
        <v>82</v>
      </c>
      <c r="C32" s="20">
        <f t="shared" si="1"/>
        <v>77</v>
      </c>
      <c r="D32" s="16">
        <f>IF($A32&lt;Inputs!$B$81,(Inputs!$B$27+Inputs!$B$28)*(1+Inputs!$B$6)^($A32-Inputs!$B$80),0)</f>
        <v>0</v>
      </c>
      <c r="E32" s="16">
        <f>IF($A32&lt;Inputs!$B$82,Inputs!$B$29*(1+Inputs!$B$7)^($A32-Inputs!$B$80),0)</f>
        <v>0</v>
      </c>
      <c r="F32" s="16">
        <f>(Inputs!$B$18+Inputs!$B$20+2*Inputs!$B$21)*(1+Inputs!$B$5)^($A32-Inputs!$B$80)</f>
        <v>788615.5324090959</v>
      </c>
      <c r="G32" s="16">
        <f>Inputs!$B$18*(1+Inputs!$B$5)^($A32-Inputs!$B$80)</f>
        <v>289491.77771979471</v>
      </c>
      <c r="H32" s="16">
        <f>IF(D32=0,0,IF(MAX(D32-Inputs!$B$22-Tax!$B$4/2-F32,0)&gt;200000,Inputs!$B$24+(MAX(D32-Inputs!$B$22-Tax!$B$4/2-F32,0)-200000)*Inputs!$B$23,IF(MAX(D32-Inputs!$B$22-Tax!$B$4/2-F32,0)&gt;150000,9000+(MAX(D32-Inputs!$B$22-Tax!$B$4/2-F32,0)-150000)*0.14,IF(MAX(D32-Inputs!$B$22-Tax!$B$4/2-F32,0)&gt;100000,4000+(MAX(D32-Inputs!$B$22-Tax!$B$4/2-F32,0)-100000)*0.1,IF(MAX(D32-Inputs!$B$22-Tax!$B$4/2-F32,0)&gt;50000,1000+(MAX(D32-Inputs!$B$22-Tax!$B$4/2-F32,0)-50000)*0.06,MAX(MAX(D32-Inputs!$B$22-Tax!$B$4/2-F32,0),0)*0.02)))))</f>
        <v>0</v>
      </c>
      <c r="I32" s="16">
        <f>IF(E32=0,0,IF(MAX(E32-Inputs!$B$22-Tax!$B$4/2-G32,0)&gt;200000,Inputs!$B$24+(MAX(E32-Inputs!$B$22-Tax!$B$4/2-G32,0)-200000)*Inputs!$B$23,IF(MAX(E32-Inputs!$B$22-Tax!$B$4/2-G32,0)&gt;150000,9000+(MAX(E32-Inputs!$B$22-Tax!$B$4/2-G32,0)-150000)*0.14,IF(MAX(E32-Inputs!$B$22-Tax!$B$4/2-G32,0)&gt;100000,4000+(MAX(E32-Inputs!$B$22-Tax!$B$4/2-G32,0)-100000)*0.1,IF(MAX(E32-Inputs!$B$22-Tax!$B$4/2-G32,0)&gt;50000,1000+(MAX(E32-Inputs!$B$22-Tax!$B$4/2-G32,0)-50000)*0.06,MAX(MAX(E32-Inputs!$B$22-Tax!$B$4/2-G32,0),0)*0.02)))))</f>
        <v>0</v>
      </c>
      <c r="J32" s="16">
        <f>IF(D32&gt;0,Inputs!$B$22,0)+IF(E32&gt;0,Inputs!$B$22,0)</f>
        <v>0</v>
      </c>
      <c r="K32" s="16">
        <f>IF($A32&lt;Inputs!$B$81,Inputs!$B$31*(1+Inputs!$B$5)^($A32-Inputs!$B$80),0)</f>
        <v>0</v>
      </c>
      <c r="L32" s="16">
        <f>IF(AND($A32&gt;=Inputs!$B$83,$A32&lt;Inputs!$B$83+Inputs!$B$41),Inputs!$B$40*(1+Inputs!$B$8)^($A32-Inputs!$B$80),0)</f>
        <v>0</v>
      </c>
      <c r="M32" s="16">
        <f>IF($A32&gt;=Inputs!$B$81,Inputs!$B$32*(1+Inputs!$B$5)^($A32-Inputs!$B$80)*IF(AND(Inputs!$B$55=1,$A32&gt;Inputs!$B$84),Inputs!$B$54,1),0)</f>
        <v>1557266.1146306198</v>
      </c>
      <c r="N32" s="16">
        <f>INDEX(Medical!$J$63:$J$109,MATCH($A32,Medical!$A$63:$A$109,0))</f>
        <v>639254.84679752751</v>
      </c>
      <c r="O32" s="16">
        <f>IF($A32&gt;=Inputs!$B$81,Inputs!$B$39,0)</f>
        <v>268000</v>
      </c>
      <c r="P32" s="16">
        <f>IF(AND(Inputs!$B$58=1,$A32=Inputs!$B$57),Inputs!$B$56,0)+IF(AND(Inputs!$B$61=1,$A32&gt;=Inputs!$B$60),Inputs!$B$59,0)</f>
        <v>0</v>
      </c>
      <c r="Q32" s="16">
        <f>D32+E32-H32-I32+J32-K32-L32-M32-N32+O32+P32-IF($A32&lt;Inputs!$B$81,Inputs!$B$42,0)</f>
        <v>-1928520.9614281473</v>
      </c>
      <c r="R32" s="16">
        <f t="shared" si="3"/>
        <v>18605553.428476591</v>
      </c>
      <c r="S32" s="16">
        <f>R32*Inputs!$B$35</f>
        <v>893066.56456687639</v>
      </c>
      <c r="T32" s="16">
        <f>IF($A32=Inputs!$B$81,-Inputs!$B$38,0)</f>
        <v>0</v>
      </c>
      <c r="U32" s="16">
        <f t="shared" si="2"/>
        <v>17570099.031615321</v>
      </c>
    </row>
    <row r="33" spans="1:21" x14ac:dyDescent="0.25">
      <c r="A33" s="20">
        <v>2055</v>
      </c>
      <c r="B33" s="20">
        <f t="shared" si="0"/>
        <v>83</v>
      </c>
      <c r="C33" s="20">
        <f t="shared" si="1"/>
        <v>78</v>
      </c>
      <c r="D33" s="16">
        <f>IF($A33&lt;Inputs!$B$81,(Inputs!$B$27+Inputs!$B$28)*(1+Inputs!$B$6)^($A33-Inputs!$B$80),0)</f>
        <v>0</v>
      </c>
      <c r="E33" s="16">
        <f>IF($A33&lt;Inputs!$B$82,Inputs!$B$29*(1+Inputs!$B$7)^($A33-Inputs!$B$80),0)</f>
        <v>0</v>
      </c>
      <c r="F33" s="16">
        <f>(Inputs!$B$18+Inputs!$B$20+2*Inputs!$B$21)*(1+Inputs!$B$5)^($A33-Inputs!$B$80)</f>
        <v>808330.92071932333</v>
      </c>
      <c r="G33" s="16">
        <f>Inputs!$B$18*(1+Inputs!$B$5)^($A33-Inputs!$B$80)</f>
        <v>296729.07216278958</v>
      </c>
      <c r="H33" s="16">
        <f>IF(D33=0,0,IF(MAX(D33-Inputs!$B$22-Tax!$B$4/2-F33,0)&gt;200000,Inputs!$B$24+(MAX(D33-Inputs!$B$22-Tax!$B$4/2-F33,0)-200000)*Inputs!$B$23,IF(MAX(D33-Inputs!$B$22-Tax!$B$4/2-F33,0)&gt;150000,9000+(MAX(D33-Inputs!$B$22-Tax!$B$4/2-F33,0)-150000)*0.14,IF(MAX(D33-Inputs!$B$22-Tax!$B$4/2-F33,0)&gt;100000,4000+(MAX(D33-Inputs!$B$22-Tax!$B$4/2-F33,0)-100000)*0.1,IF(MAX(D33-Inputs!$B$22-Tax!$B$4/2-F33,0)&gt;50000,1000+(MAX(D33-Inputs!$B$22-Tax!$B$4/2-F33,0)-50000)*0.06,MAX(MAX(D33-Inputs!$B$22-Tax!$B$4/2-F33,0),0)*0.02)))))</f>
        <v>0</v>
      </c>
      <c r="I33" s="16">
        <f>IF(E33=0,0,IF(MAX(E33-Inputs!$B$22-Tax!$B$4/2-G33,0)&gt;200000,Inputs!$B$24+(MAX(E33-Inputs!$B$22-Tax!$B$4/2-G33,0)-200000)*Inputs!$B$23,IF(MAX(E33-Inputs!$B$22-Tax!$B$4/2-G33,0)&gt;150000,9000+(MAX(E33-Inputs!$B$22-Tax!$B$4/2-G33,0)-150000)*0.14,IF(MAX(E33-Inputs!$B$22-Tax!$B$4/2-G33,0)&gt;100000,4000+(MAX(E33-Inputs!$B$22-Tax!$B$4/2-G33,0)-100000)*0.1,IF(MAX(E33-Inputs!$B$22-Tax!$B$4/2-G33,0)&gt;50000,1000+(MAX(E33-Inputs!$B$22-Tax!$B$4/2-G33,0)-50000)*0.06,MAX(MAX(E33-Inputs!$B$22-Tax!$B$4/2-G33,0),0)*0.02)))))</f>
        <v>0</v>
      </c>
      <c r="J33" s="16">
        <f>IF(D33&gt;0,Inputs!$B$22,0)+IF(E33&gt;0,Inputs!$B$22,0)</f>
        <v>0</v>
      </c>
      <c r="K33" s="16">
        <f>IF($A33&lt;Inputs!$B$81,Inputs!$B$31*(1+Inputs!$B$5)^($A33-Inputs!$B$80),0)</f>
        <v>0</v>
      </c>
      <c r="L33" s="16">
        <f>IF(AND($A33&gt;=Inputs!$B$83,$A33&lt;Inputs!$B$83+Inputs!$B$41),Inputs!$B$40*(1+Inputs!$B$8)^($A33-Inputs!$B$80),0)</f>
        <v>0</v>
      </c>
      <c r="M33" s="16">
        <f>IF($A33&gt;=Inputs!$B$81,Inputs!$B$32*(1+Inputs!$B$5)^($A33-Inputs!$B$80)*IF(AND(Inputs!$B$55=1,$A33&gt;Inputs!$B$84),Inputs!$B$54,1),0)</f>
        <v>1596197.7674963854</v>
      </c>
      <c r="N33" s="16">
        <f>INDEX(Medical!$J$63:$J$109,MATCH($A33,Medical!$A$63:$A$109,0))</f>
        <v>709625.69004126394</v>
      </c>
      <c r="O33" s="16">
        <f>IF($A33&gt;=Inputs!$B$81,Inputs!$B$39,0)</f>
        <v>268000</v>
      </c>
      <c r="P33" s="16">
        <f>IF(AND(Inputs!$B$58=1,$A33=Inputs!$B$57),Inputs!$B$56,0)+IF(AND(Inputs!$B$61=1,$A33&gt;=Inputs!$B$60),Inputs!$B$59,0)</f>
        <v>0</v>
      </c>
      <c r="Q33" s="16">
        <f>D33+E33-H33-I33+J33-K33-L33-M33-N33+O33+P33-IF($A33&lt;Inputs!$B$81,Inputs!$B$42,0)</f>
        <v>-2037823.4575376492</v>
      </c>
      <c r="R33" s="16">
        <f t="shared" si="3"/>
        <v>17570099.031615321</v>
      </c>
      <c r="S33" s="16">
        <f>R33*Inputs!$B$35</f>
        <v>843364.7535175354</v>
      </c>
      <c r="T33" s="16">
        <f>IF($A33=Inputs!$B$81,-Inputs!$B$38,0)</f>
        <v>0</v>
      </c>
      <c r="U33" s="16">
        <f t="shared" si="2"/>
        <v>16375640.327595206</v>
      </c>
    </row>
    <row r="34" spans="1:21" x14ac:dyDescent="0.25">
      <c r="A34" s="22">
        <v>2056</v>
      </c>
      <c r="B34" s="22">
        <f t="shared" si="0"/>
        <v>84</v>
      </c>
      <c r="C34" s="22">
        <f t="shared" si="1"/>
        <v>79</v>
      </c>
      <c r="D34" s="23">
        <f>IF($A34&lt;Inputs!$B$81,(Inputs!$B$27+Inputs!$B$28)*(1+Inputs!$B$6)^($A34-Inputs!$B$80),0)</f>
        <v>0</v>
      </c>
      <c r="E34" s="23">
        <f>IF($A34&lt;Inputs!$B$82,Inputs!$B$29*(1+Inputs!$B$7)^($A34-Inputs!$B$80),0)</f>
        <v>0</v>
      </c>
      <c r="F34" s="23">
        <f>(Inputs!$B$18+Inputs!$B$20+2*Inputs!$B$21)*(1+Inputs!$B$5)^($A34-Inputs!$B$80)</f>
        <v>828539.19373730628</v>
      </c>
      <c r="G34" s="23">
        <f>Inputs!$B$18*(1+Inputs!$B$5)^($A34-Inputs!$B$80)</f>
        <v>304147.29896685929</v>
      </c>
      <c r="H34" s="23">
        <f>IF(D34=0,0,IF(MAX(D34-Inputs!$B$22-Tax!$B$4/2-F34,0)&gt;200000,Inputs!$B$24+(MAX(D34-Inputs!$B$22-Tax!$B$4/2-F34,0)-200000)*Inputs!$B$23,IF(MAX(D34-Inputs!$B$22-Tax!$B$4/2-F34,0)&gt;150000,9000+(MAX(D34-Inputs!$B$22-Tax!$B$4/2-F34,0)-150000)*0.14,IF(MAX(D34-Inputs!$B$22-Tax!$B$4/2-F34,0)&gt;100000,4000+(MAX(D34-Inputs!$B$22-Tax!$B$4/2-F34,0)-100000)*0.1,IF(MAX(D34-Inputs!$B$22-Tax!$B$4/2-F34,0)&gt;50000,1000+(MAX(D34-Inputs!$B$22-Tax!$B$4/2-F34,0)-50000)*0.06,MAX(MAX(D34-Inputs!$B$22-Tax!$B$4/2-F34,0),0)*0.02)))))</f>
        <v>0</v>
      </c>
      <c r="I34" s="23">
        <f>IF(E34=0,0,IF(MAX(E34-Inputs!$B$22-Tax!$B$4/2-G34,0)&gt;200000,Inputs!$B$24+(MAX(E34-Inputs!$B$22-Tax!$B$4/2-G34,0)-200000)*Inputs!$B$23,IF(MAX(E34-Inputs!$B$22-Tax!$B$4/2-G34,0)&gt;150000,9000+(MAX(E34-Inputs!$B$22-Tax!$B$4/2-G34,0)-150000)*0.14,IF(MAX(E34-Inputs!$B$22-Tax!$B$4/2-G34,0)&gt;100000,4000+(MAX(E34-Inputs!$B$22-Tax!$B$4/2-G34,0)-100000)*0.1,IF(MAX(E34-Inputs!$B$22-Tax!$B$4/2-G34,0)&gt;50000,1000+(MAX(E34-Inputs!$B$22-Tax!$B$4/2-G34,0)-50000)*0.06,MAX(MAX(E34-Inputs!$B$22-Tax!$B$4/2-G34,0),0)*0.02)))))</f>
        <v>0</v>
      </c>
      <c r="J34" s="23">
        <f>IF(D34&gt;0,Inputs!$B$22,0)+IF(E34&gt;0,Inputs!$B$22,0)</f>
        <v>0</v>
      </c>
      <c r="K34" s="23">
        <f>IF($A34&lt;Inputs!$B$81,Inputs!$B$31*(1+Inputs!$B$5)^($A34-Inputs!$B$80),0)</f>
        <v>0</v>
      </c>
      <c r="L34" s="23">
        <f>IF(AND($A34&gt;=Inputs!$B$83,$A34&lt;Inputs!$B$83+Inputs!$B$41),Inputs!$B$40*(1+Inputs!$B$8)^($A34-Inputs!$B$80),0)</f>
        <v>0</v>
      </c>
      <c r="M34" s="23">
        <f>IF($A34&gt;=Inputs!$B$81,Inputs!$B$32*(1+Inputs!$B$5)^($A34-Inputs!$B$80)*IF(AND(Inputs!$B$55=1,$A34&gt;Inputs!$B$84),Inputs!$B$54,1),0)</f>
        <v>1636102.7116837946</v>
      </c>
      <c r="N34" s="23">
        <f>INDEX(Medical!$J$63:$J$109,MATCH($A34,Medical!$A$63:$A$109,0))</f>
        <v>786962.25948538142</v>
      </c>
      <c r="O34" s="23">
        <f>IF($A34&gt;=Inputs!$B$81,Inputs!$B$39,0)</f>
        <v>268000</v>
      </c>
      <c r="P34" s="23">
        <f>IF(AND(Inputs!$B$58=1,$A34=Inputs!$B$57),Inputs!$B$56,0)+IF(AND(Inputs!$B$61=1,$A34&gt;=Inputs!$B$60),Inputs!$B$59,0)</f>
        <v>0</v>
      </c>
      <c r="Q34" s="23">
        <f>D34+E34-H34-I34+J34-K34-L34-M34-N34+O34+P34-IF($A34&lt;Inputs!$B$81,Inputs!$B$42,0)</f>
        <v>-2155064.971169176</v>
      </c>
      <c r="R34" s="23">
        <f t="shared" si="3"/>
        <v>16375640.327595206</v>
      </c>
      <c r="S34" s="23">
        <f>R34*Inputs!$B$35</f>
        <v>786030.73572456988</v>
      </c>
      <c r="T34" s="23">
        <f>IF($A34=Inputs!$B$81,-Inputs!$B$38,0)</f>
        <v>0</v>
      </c>
      <c r="U34" s="23">
        <f t="shared" si="2"/>
        <v>15006606.092150601</v>
      </c>
    </row>
    <row r="35" spans="1:21" x14ac:dyDescent="0.25">
      <c r="A35" s="20">
        <v>2057</v>
      </c>
      <c r="B35" s="20">
        <f t="shared" si="0"/>
        <v>85</v>
      </c>
      <c r="C35" s="20">
        <f t="shared" si="1"/>
        <v>80</v>
      </c>
      <c r="D35" s="16">
        <f>IF($A35&lt;Inputs!$B$81,(Inputs!$B$27+Inputs!$B$28)*(1+Inputs!$B$6)^($A35-Inputs!$B$80),0)</f>
        <v>0</v>
      </c>
      <c r="E35" s="16">
        <f>IF($A35&lt;Inputs!$B$82,Inputs!$B$29*(1+Inputs!$B$7)^($A35-Inputs!$B$80),0)</f>
        <v>0</v>
      </c>
      <c r="F35" s="16">
        <f>(Inputs!$B$18+Inputs!$B$20+2*Inputs!$B$21)*(1+Inputs!$B$5)^($A35-Inputs!$B$80)</f>
        <v>849252.67358073918</v>
      </c>
      <c r="G35" s="16">
        <f>Inputs!$B$18*(1+Inputs!$B$5)^($A35-Inputs!$B$80)</f>
        <v>311750.98144103086</v>
      </c>
      <c r="H35" s="16">
        <f>IF(D35=0,0,IF(MAX(D35-Inputs!$B$22-Tax!$B$4/2-F35,0)&gt;200000,Inputs!$B$24+(MAX(D35-Inputs!$B$22-Tax!$B$4/2-F35,0)-200000)*Inputs!$B$23,IF(MAX(D35-Inputs!$B$22-Tax!$B$4/2-F35,0)&gt;150000,9000+(MAX(D35-Inputs!$B$22-Tax!$B$4/2-F35,0)-150000)*0.14,IF(MAX(D35-Inputs!$B$22-Tax!$B$4/2-F35,0)&gt;100000,4000+(MAX(D35-Inputs!$B$22-Tax!$B$4/2-F35,0)-100000)*0.1,IF(MAX(D35-Inputs!$B$22-Tax!$B$4/2-F35,0)&gt;50000,1000+(MAX(D35-Inputs!$B$22-Tax!$B$4/2-F35,0)-50000)*0.06,MAX(MAX(D35-Inputs!$B$22-Tax!$B$4/2-F35,0),0)*0.02)))))</f>
        <v>0</v>
      </c>
      <c r="I35" s="16">
        <f>IF(E35=0,0,IF(MAX(E35-Inputs!$B$22-Tax!$B$4/2-G35,0)&gt;200000,Inputs!$B$24+(MAX(E35-Inputs!$B$22-Tax!$B$4/2-G35,0)-200000)*Inputs!$B$23,IF(MAX(E35-Inputs!$B$22-Tax!$B$4/2-G35,0)&gt;150000,9000+(MAX(E35-Inputs!$B$22-Tax!$B$4/2-G35,0)-150000)*0.14,IF(MAX(E35-Inputs!$B$22-Tax!$B$4/2-G35,0)&gt;100000,4000+(MAX(E35-Inputs!$B$22-Tax!$B$4/2-G35,0)-100000)*0.1,IF(MAX(E35-Inputs!$B$22-Tax!$B$4/2-G35,0)&gt;50000,1000+(MAX(E35-Inputs!$B$22-Tax!$B$4/2-G35,0)-50000)*0.06,MAX(MAX(E35-Inputs!$B$22-Tax!$B$4/2-G35,0),0)*0.02)))))</f>
        <v>0</v>
      </c>
      <c r="J35" s="16">
        <f>IF(D35&gt;0,Inputs!$B$22,0)+IF(E35&gt;0,Inputs!$B$22,0)</f>
        <v>0</v>
      </c>
      <c r="K35" s="16">
        <f>IF($A35&lt;Inputs!$B$81,Inputs!$B$31*(1+Inputs!$B$5)^($A35-Inputs!$B$80),0)</f>
        <v>0</v>
      </c>
      <c r="L35" s="16">
        <f>IF(AND($A35&gt;=Inputs!$B$83,$A35&lt;Inputs!$B$83+Inputs!$B$41),Inputs!$B$40*(1+Inputs!$B$8)^($A35-Inputs!$B$80),0)</f>
        <v>0</v>
      </c>
      <c r="M35" s="16">
        <f>IF($A35&gt;=Inputs!$B$81,Inputs!$B$32*(1+Inputs!$B$5)^($A35-Inputs!$B$80)*IF(AND(Inputs!$B$55=1,$A35&gt;Inputs!$B$84),Inputs!$B$54,1),0)</f>
        <v>1677005.2794758901</v>
      </c>
      <c r="N35" s="16">
        <f>INDEX(Medical!$J$63:$J$109,MATCH($A35,Medical!$A$63:$A$109,0))</f>
        <v>320636.7888385402</v>
      </c>
      <c r="O35" s="16">
        <f>IF($A35&gt;=Inputs!$B$81,Inputs!$B$39,0)</f>
        <v>268000</v>
      </c>
      <c r="P35" s="16">
        <f>IF(AND(Inputs!$B$58=1,$A35=Inputs!$B$57),Inputs!$B$56,0)+IF(AND(Inputs!$B$61=1,$A35&gt;=Inputs!$B$60),Inputs!$B$59,0)</f>
        <v>0</v>
      </c>
      <c r="Q35" s="16">
        <f>D35+E35-H35-I35+J35-K35-L35-M35-N35+O35+P35-IF($A35&lt;Inputs!$B$81,Inputs!$B$42,0)</f>
        <v>-1729642.0683144303</v>
      </c>
      <c r="R35" s="16">
        <f t="shared" si="3"/>
        <v>15006606.092150601</v>
      </c>
      <c r="S35" s="16">
        <f>R35*Inputs!$B$35</f>
        <v>720317.0924232289</v>
      </c>
      <c r="T35" s="16">
        <f>IF($A35=Inputs!$B$81,-Inputs!$B$38,0)</f>
        <v>0</v>
      </c>
      <c r="U35" s="16">
        <f t="shared" si="2"/>
        <v>13997281.1162594</v>
      </c>
    </row>
    <row r="36" spans="1:21" x14ac:dyDescent="0.25">
      <c r="A36" s="20">
        <v>2058</v>
      </c>
      <c r="B36" s="20">
        <f t="shared" si="0"/>
        <v>86</v>
      </c>
      <c r="C36" s="20">
        <f t="shared" si="1"/>
        <v>81</v>
      </c>
      <c r="D36" s="16">
        <f>IF($A36&lt;Inputs!$B$81,(Inputs!$B$27+Inputs!$B$28)*(1+Inputs!$B$6)^($A36-Inputs!$B$80),0)</f>
        <v>0</v>
      </c>
      <c r="E36" s="16">
        <f>IF($A36&lt;Inputs!$B$82,Inputs!$B$29*(1+Inputs!$B$7)^($A36-Inputs!$B$80),0)</f>
        <v>0</v>
      </c>
      <c r="F36" s="16">
        <f>(Inputs!$B$18+Inputs!$B$20+2*Inputs!$B$21)*(1+Inputs!$B$5)^($A36-Inputs!$B$80)</f>
        <v>870483.99042025744</v>
      </c>
      <c r="G36" s="16">
        <f>Inputs!$B$18*(1+Inputs!$B$5)^($A36-Inputs!$B$80)</f>
        <v>319544.75597705651</v>
      </c>
      <c r="H36" s="16">
        <f>IF(D36=0,0,IF(MAX(D36-Inputs!$B$22-Tax!$B$4/2-F36,0)&gt;200000,Inputs!$B$24+(MAX(D36-Inputs!$B$22-Tax!$B$4/2-F36,0)-200000)*Inputs!$B$23,IF(MAX(D36-Inputs!$B$22-Tax!$B$4/2-F36,0)&gt;150000,9000+(MAX(D36-Inputs!$B$22-Tax!$B$4/2-F36,0)-150000)*0.14,IF(MAX(D36-Inputs!$B$22-Tax!$B$4/2-F36,0)&gt;100000,4000+(MAX(D36-Inputs!$B$22-Tax!$B$4/2-F36,0)-100000)*0.1,IF(MAX(D36-Inputs!$B$22-Tax!$B$4/2-F36,0)&gt;50000,1000+(MAX(D36-Inputs!$B$22-Tax!$B$4/2-F36,0)-50000)*0.06,MAX(MAX(D36-Inputs!$B$22-Tax!$B$4/2-F36,0),0)*0.02)))))</f>
        <v>0</v>
      </c>
      <c r="I36" s="16">
        <f>IF(E36=0,0,IF(MAX(E36-Inputs!$B$22-Tax!$B$4/2-G36,0)&gt;200000,Inputs!$B$24+(MAX(E36-Inputs!$B$22-Tax!$B$4/2-G36,0)-200000)*Inputs!$B$23,IF(MAX(E36-Inputs!$B$22-Tax!$B$4/2-G36,0)&gt;150000,9000+(MAX(E36-Inputs!$B$22-Tax!$B$4/2-G36,0)-150000)*0.14,IF(MAX(E36-Inputs!$B$22-Tax!$B$4/2-G36,0)&gt;100000,4000+(MAX(E36-Inputs!$B$22-Tax!$B$4/2-G36,0)-100000)*0.1,IF(MAX(E36-Inputs!$B$22-Tax!$B$4/2-G36,0)&gt;50000,1000+(MAX(E36-Inputs!$B$22-Tax!$B$4/2-G36,0)-50000)*0.06,MAX(MAX(E36-Inputs!$B$22-Tax!$B$4/2-G36,0),0)*0.02)))))</f>
        <v>0</v>
      </c>
      <c r="J36" s="16">
        <f>IF(D36&gt;0,Inputs!$B$22,0)+IF(E36&gt;0,Inputs!$B$22,0)</f>
        <v>0</v>
      </c>
      <c r="K36" s="16">
        <f>IF($A36&lt;Inputs!$B$81,Inputs!$B$31*(1+Inputs!$B$5)^($A36-Inputs!$B$80),0)</f>
        <v>0</v>
      </c>
      <c r="L36" s="16">
        <f>IF(AND($A36&gt;=Inputs!$B$83,$A36&lt;Inputs!$B$83+Inputs!$B$41),Inputs!$B$40*(1+Inputs!$B$8)^($A36-Inputs!$B$80),0)</f>
        <v>0</v>
      </c>
      <c r="M36" s="16">
        <f>IF($A36&gt;=Inputs!$B$81,Inputs!$B$32*(1+Inputs!$B$5)^($A36-Inputs!$B$80)*IF(AND(Inputs!$B$55=1,$A36&gt;Inputs!$B$84),Inputs!$B$54,1),0)</f>
        <v>1718930.4114627868</v>
      </c>
      <c r="N36" s="16">
        <f>INDEX(Medical!$J$63:$J$109,MATCH($A36,Medical!$A$63:$A$109,0))</f>
        <v>361131.66369229648</v>
      </c>
      <c r="O36" s="16">
        <f>IF($A36&gt;=Inputs!$B$81,Inputs!$B$39,0)</f>
        <v>268000</v>
      </c>
      <c r="P36" s="16">
        <f>IF(AND(Inputs!$B$58=1,$A36=Inputs!$B$57),Inputs!$B$56,0)+IF(AND(Inputs!$B$61=1,$A36&gt;=Inputs!$B$60),Inputs!$B$59,0)</f>
        <v>0</v>
      </c>
      <c r="Q36" s="16">
        <f>D36+E36-H36-I36+J36-K36-L36-M36-N36+O36+P36-IF($A36&lt;Inputs!$B$81,Inputs!$B$42,0)</f>
        <v>-1812062.0751550833</v>
      </c>
      <c r="R36" s="16">
        <f t="shared" si="3"/>
        <v>13997281.1162594</v>
      </c>
      <c r="S36" s="16">
        <f>R36*Inputs!$B$35</f>
        <v>671869.49358045124</v>
      </c>
      <c r="T36" s="16">
        <f>IF($A36=Inputs!$B$81,-Inputs!$B$38,0)</f>
        <v>0</v>
      </c>
      <c r="U36" s="16">
        <f t="shared" si="2"/>
        <v>12857088.534684768</v>
      </c>
    </row>
    <row r="37" spans="1:21" x14ac:dyDescent="0.25">
      <c r="A37" s="20">
        <v>2059</v>
      </c>
      <c r="B37" s="20">
        <f t="shared" si="0"/>
        <v>87</v>
      </c>
      <c r="C37" s="20">
        <f t="shared" si="1"/>
        <v>82</v>
      </c>
      <c r="D37" s="16">
        <f>IF($A37&lt;Inputs!$B$81,(Inputs!$B$27+Inputs!$B$28)*(1+Inputs!$B$6)^($A37-Inputs!$B$80),0)</f>
        <v>0</v>
      </c>
      <c r="E37" s="16">
        <f>IF($A37&lt;Inputs!$B$82,Inputs!$B$29*(1+Inputs!$B$7)^($A37-Inputs!$B$80),0)</f>
        <v>0</v>
      </c>
      <c r="F37" s="16">
        <f>(Inputs!$B$18+Inputs!$B$20+2*Inputs!$B$21)*(1+Inputs!$B$5)^($A37-Inputs!$B$80)</f>
        <v>892246.09018076386</v>
      </c>
      <c r="G37" s="16">
        <f>Inputs!$B$18*(1+Inputs!$B$5)^($A37-Inputs!$B$80)</f>
        <v>327533.37487648294</v>
      </c>
      <c r="H37" s="16">
        <f>IF(D37=0,0,IF(MAX(D37-Inputs!$B$22-Tax!$B$4/2-F37,0)&gt;200000,Inputs!$B$24+(MAX(D37-Inputs!$B$22-Tax!$B$4/2-F37,0)-200000)*Inputs!$B$23,IF(MAX(D37-Inputs!$B$22-Tax!$B$4/2-F37,0)&gt;150000,9000+(MAX(D37-Inputs!$B$22-Tax!$B$4/2-F37,0)-150000)*0.14,IF(MAX(D37-Inputs!$B$22-Tax!$B$4/2-F37,0)&gt;100000,4000+(MAX(D37-Inputs!$B$22-Tax!$B$4/2-F37,0)-100000)*0.1,IF(MAX(D37-Inputs!$B$22-Tax!$B$4/2-F37,0)&gt;50000,1000+(MAX(D37-Inputs!$B$22-Tax!$B$4/2-F37,0)-50000)*0.06,MAX(MAX(D37-Inputs!$B$22-Tax!$B$4/2-F37,0),0)*0.02)))))</f>
        <v>0</v>
      </c>
      <c r="I37" s="16">
        <f>IF(E37=0,0,IF(MAX(E37-Inputs!$B$22-Tax!$B$4/2-G37,0)&gt;200000,Inputs!$B$24+(MAX(E37-Inputs!$B$22-Tax!$B$4/2-G37,0)-200000)*Inputs!$B$23,IF(MAX(E37-Inputs!$B$22-Tax!$B$4/2-G37,0)&gt;150000,9000+(MAX(E37-Inputs!$B$22-Tax!$B$4/2-G37,0)-150000)*0.14,IF(MAX(E37-Inputs!$B$22-Tax!$B$4/2-G37,0)&gt;100000,4000+(MAX(E37-Inputs!$B$22-Tax!$B$4/2-G37,0)-100000)*0.1,IF(MAX(E37-Inputs!$B$22-Tax!$B$4/2-G37,0)&gt;50000,1000+(MAX(E37-Inputs!$B$22-Tax!$B$4/2-G37,0)-50000)*0.06,MAX(MAX(E37-Inputs!$B$22-Tax!$B$4/2-G37,0),0)*0.02)))))</f>
        <v>0</v>
      </c>
      <c r="J37" s="16">
        <f>IF(D37&gt;0,Inputs!$B$22,0)+IF(E37&gt;0,Inputs!$B$22,0)</f>
        <v>0</v>
      </c>
      <c r="K37" s="16">
        <f>IF($A37&lt;Inputs!$B$81,Inputs!$B$31*(1+Inputs!$B$5)^($A37-Inputs!$B$80),0)</f>
        <v>0</v>
      </c>
      <c r="L37" s="16">
        <f>IF(AND($A37&gt;=Inputs!$B$83,$A37&lt;Inputs!$B$83+Inputs!$B$41),Inputs!$B$40*(1+Inputs!$B$8)^($A37-Inputs!$B$80),0)</f>
        <v>0</v>
      </c>
      <c r="M37" s="16">
        <f>IF($A37&gt;=Inputs!$B$81,Inputs!$B$32*(1+Inputs!$B$5)^($A37-Inputs!$B$80)*IF(AND(Inputs!$B$55=1,$A37&gt;Inputs!$B$84),Inputs!$B$54,1),0)</f>
        <v>1761903.6717493564</v>
      </c>
      <c r="N37" s="16">
        <f>INDEX(Medical!$J$63:$J$109,MATCH($A37,Medical!$A$63:$A$109,0))</f>
        <v>405742.17836414505</v>
      </c>
      <c r="O37" s="16">
        <f>IF($A37&gt;=Inputs!$B$81,Inputs!$B$39,0)</f>
        <v>268000</v>
      </c>
      <c r="P37" s="16">
        <f>IF(AND(Inputs!$B$58=1,$A37=Inputs!$B$57),Inputs!$B$56,0)+IF(AND(Inputs!$B$61=1,$A37&gt;=Inputs!$B$60),Inputs!$B$59,0)</f>
        <v>0</v>
      </c>
      <c r="Q37" s="16">
        <f>D37+E37-H37-I37+J37-K37-L37-M37-N37+O37+P37-IF($A37&lt;Inputs!$B$81,Inputs!$B$42,0)</f>
        <v>-1899645.8501135013</v>
      </c>
      <c r="R37" s="16">
        <f t="shared" si="3"/>
        <v>12857088.534684768</v>
      </c>
      <c r="S37" s="16">
        <f>R37*Inputs!$B$35</f>
        <v>617140.24966486893</v>
      </c>
      <c r="T37" s="16">
        <f>IF($A37=Inputs!$B$81,-Inputs!$B$38,0)</f>
        <v>0</v>
      </c>
      <c r="U37" s="16">
        <f t="shared" si="2"/>
        <v>11574582.934236135</v>
      </c>
    </row>
    <row r="38" spans="1:21" x14ac:dyDescent="0.25">
      <c r="A38" s="20">
        <v>2060</v>
      </c>
      <c r="B38" s="20">
        <f t="shared" si="0"/>
        <v>88</v>
      </c>
      <c r="C38" s="20">
        <f t="shared" si="1"/>
        <v>83</v>
      </c>
      <c r="D38" s="16">
        <f>IF($A38&lt;Inputs!$B$81,(Inputs!$B$27+Inputs!$B$28)*(1+Inputs!$B$6)^($A38-Inputs!$B$80),0)</f>
        <v>0</v>
      </c>
      <c r="E38" s="16">
        <f>IF($A38&lt;Inputs!$B$82,Inputs!$B$29*(1+Inputs!$B$7)^($A38-Inputs!$B$80),0)</f>
        <v>0</v>
      </c>
      <c r="F38" s="16">
        <f>(Inputs!$B$18+Inputs!$B$20+2*Inputs!$B$21)*(1+Inputs!$B$5)^($A38-Inputs!$B$80)</f>
        <v>914552.24243528291</v>
      </c>
      <c r="G38" s="16">
        <f>Inputs!$B$18*(1+Inputs!$B$5)^($A38-Inputs!$B$80)</f>
        <v>335721.709248395</v>
      </c>
      <c r="H38" s="16">
        <f>IF(D38=0,0,IF(MAX(D38-Inputs!$B$22-Tax!$B$4/2-F38,0)&gt;200000,Inputs!$B$24+(MAX(D38-Inputs!$B$22-Tax!$B$4/2-F38,0)-200000)*Inputs!$B$23,IF(MAX(D38-Inputs!$B$22-Tax!$B$4/2-F38,0)&gt;150000,9000+(MAX(D38-Inputs!$B$22-Tax!$B$4/2-F38,0)-150000)*0.14,IF(MAX(D38-Inputs!$B$22-Tax!$B$4/2-F38,0)&gt;100000,4000+(MAX(D38-Inputs!$B$22-Tax!$B$4/2-F38,0)-100000)*0.1,IF(MAX(D38-Inputs!$B$22-Tax!$B$4/2-F38,0)&gt;50000,1000+(MAX(D38-Inputs!$B$22-Tax!$B$4/2-F38,0)-50000)*0.06,MAX(MAX(D38-Inputs!$B$22-Tax!$B$4/2-F38,0),0)*0.02)))))</f>
        <v>0</v>
      </c>
      <c r="I38" s="16">
        <f>IF(E38=0,0,IF(MAX(E38-Inputs!$B$22-Tax!$B$4/2-G38,0)&gt;200000,Inputs!$B$24+(MAX(E38-Inputs!$B$22-Tax!$B$4/2-G38,0)-200000)*Inputs!$B$23,IF(MAX(E38-Inputs!$B$22-Tax!$B$4/2-G38,0)&gt;150000,9000+(MAX(E38-Inputs!$B$22-Tax!$B$4/2-G38,0)-150000)*0.14,IF(MAX(E38-Inputs!$B$22-Tax!$B$4/2-G38,0)&gt;100000,4000+(MAX(E38-Inputs!$B$22-Tax!$B$4/2-G38,0)-100000)*0.1,IF(MAX(E38-Inputs!$B$22-Tax!$B$4/2-G38,0)&gt;50000,1000+(MAX(E38-Inputs!$B$22-Tax!$B$4/2-G38,0)-50000)*0.06,MAX(MAX(E38-Inputs!$B$22-Tax!$B$4/2-G38,0),0)*0.02)))))</f>
        <v>0</v>
      </c>
      <c r="J38" s="16">
        <f>IF(D38&gt;0,Inputs!$B$22,0)+IF(E38&gt;0,Inputs!$B$22,0)</f>
        <v>0</v>
      </c>
      <c r="K38" s="16">
        <f>IF($A38&lt;Inputs!$B$81,Inputs!$B$31*(1+Inputs!$B$5)^($A38-Inputs!$B$80),0)</f>
        <v>0</v>
      </c>
      <c r="L38" s="16">
        <f>IF(AND($A38&gt;=Inputs!$B$83,$A38&lt;Inputs!$B$83+Inputs!$B$41),Inputs!$B$40*(1+Inputs!$B$8)^($A38-Inputs!$B$80),0)</f>
        <v>0</v>
      </c>
      <c r="M38" s="16">
        <f>IF($A38&gt;=Inputs!$B$81,Inputs!$B$32*(1+Inputs!$B$5)^($A38-Inputs!$B$80)*IF(AND(Inputs!$B$55=1,$A38&gt;Inputs!$B$84),Inputs!$B$54,1),0)</f>
        <v>1805951.2635430903</v>
      </c>
      <c r="N38" s="16">
        <f>INDEX(Medical!$J$63:$J$109,MATCH($A38,Medical!$A$63:$A$109,0))</f>
        <v>454867.73190867808</v>
      </c>
      <c r="O38" s="16">
        <f>IF($A38&gt;=Inputs!$B$81,Inputs!$B$39,0)</f>
        <v>268000</v>
      </c>
      <c r="P38" s="16">
        <f>IF(AND(Inputs!$B$58=1,$A38=Inputs!$B$57),Inputs!$B$56,0)+IF(AND(Inputs!$B$61=1,$A38&gt;=Inputs!$B$60),Inputs!$B$59,0)</f>
        <v>0</v>
      </c>
      <c r="Q38" s="16">
        <f>D38+E38-H38-I38+J38-K38-L38-M38-N38+O38+P38-IF($A38&lt;Inputs!$B$81,Inputs!$B$42,0)</f>
        <v>-1992818.9954517684</v>
      </c>
      <c r="R38" s="16">
        <f t="shared" si="3"/>
        <v>11574582.934236135</v>
      </c>
      <c r="S38" s="16">
        <f>R38*Inputs!$B$35</f>
        <v>555579.98084333446</v>
      </c>
      <c r="T38" s="16">
        <f>IF($A38=Inputs!$B$81,-Inputs!$B$38,0)</f>
        <v>0</v>
      </c>
      <c r="U38" s="16">
        <f t="shared" si="2"/>
        <v>10137343.919627702</v>
      </c>
    </row>
    <row r="39" spans="1:21" x14ac:dyDescent="0.25">
      <c r="A39" s="20">
        <v>2061</v>
      </c>
      <c r="B39" s="20">
        <f t="shared" si="0"/>
        <v>89</v>
      </c>
      <c r="C39" s="20">
        <f t="shared" si="1"/>
        <v>84</v>
      </c>
      <c r="D39" s="16">
        <f>IF($A39&lt;Inputs!$B$81,(Inputs!$B$27+Inputs!$B$28)*(1+Inputs!$B$6)^($A39-Inputs!$B$80),0)</f>
        <v>0</v>
      </c>
      <c r="E39" s="16">
        <f>IF($A39&lt;Inputs!$B$82,Inputs!$B$29*(1+Inputs!$B$7)^($A39-Inputs!$B$80),0)</f>
        <v>0</v>
      </c>
      <c r="F39" s="16">
        <f>(Inputs!$B$18+Inputs!$B$20+2*Inputs!$B$21)*(1+Inputs!$B$5)^($A39-Inputs!$B$80)</f>
        <v>937416.04849616485</v>
      </c>
      <c r="G39" s="16">
        <f>Inputs!$B$18*(1+Inputs!$B$5)^($A39-Inputs!$B$80)</f>
        <v>344114.75197960483</v>
      </c>
      <c r="H39" s="16">
        <f>IF(D39=0,0,IF(MAX(D39-Inputs!$B$22-Tax!$B$4/2-F39,0)&gt;200000,Inputs!$B$24+(MAX(D39-Inputs!$B$22-Tax!$B$4/2-F39,0)-200000)*Inputs!$B$23,IF(MAX(D39-Inputs!$B$22-Tax!$B$4/2-F39,0)&gt;150000,9000+(MAX(D39-Inputs!$B$22-Tax!$B$4/2-F39,0)-150000)*0.14,IF(MAX(D39-Inputs!$B$22-Tax!$B$4/2-F39,0)&gt;100000,4000+(MAX(D39-Inputs!$B$22-Tax!$B$4/2-F39,0)-100000)*0.1,IF(MAX(D39-Inputs!$B$22-Tax!$B$4/2-F39,0)&gt;50000,1000+(MAX(D39-Inputs!$B$22-Tax!$B$4/2-F39,0)-50000)*0.06,MAX(MAX(D39-Inputs!$B$22-Tax!$B$4/2-F39,0),0)*0.02)))))</f>
        <v>0</v>
      </c>
      <c r="I39" s="16">
        <f>IF(E39=0,0,IF(MAX(E39-Inputs!$B$22-Tax!$B$4/2-G39,0)&gt;200000,Inputs!$B$24+(MAX(E39-Inputs!$B$22-Tax!$B$4/2-G39,0)-200000)*Inputs!$B$23,IF(MAX(E39-Inputs!$B$22-Tax!$B$4/2-G39,0)&gt;150000,9000+(MAX(E39-Inputs!$B$22-Tax!$B$4/2-G39,0)-150000)*0.14,IF(MAX(E39-Inputs!$B$22-Tax!$B$4/2-G39,0)&gt;100000,4000+(MAX(E39-Inputs!$B$22-Tax!$B$4/2-G39,0)-100000)*0.1,IF(MAX(E39-Inputs!$B$22-Tax!$B$4/2-G39,0)&gt;50000,1000+(MAX(E39-Inputs!$B$22-Tax!$B$4/2-G39,0)-50000)*0.06,MAX(MAX(E39-Inputs!$B$22-Tax!$B$4/2-G39,0),0)*0.02)))))</f>
        <v>0</v>
      </c>
      <c r="J39" s="16">
        <f>IF(D39&gt;0,Inputs!$B$22,0)+IF(E39&gt;0,Inputs!$B$22,0)</f>
        <v>0</v>
      </c>
      <c r="K39" s="16">
        <f>IF($A39&lt;Inputs!$B$81,Inputs!$B$31*(1+Inputs!$B$5)^($A39-Inputs!$B$80),0)</f>
        <v>0</v>
      </c>
      <c r="L39" s="16">
        <f>IF(AND($A39&gt;=Inputs!$B$83,$A39&lt;Inputs!$B$83+Inputs!$B$41),Inputs!$B$40*(1+Inputs!$B$8)^($A39-Inputs!$B$80),0)</f>
        <v>0</v>
      </c>
      <c r="M39" s="16">
        <f>IF($A39&gt;=Inputs!$B$81,Inputs!$B$32*(1+Inputs!$B$5)^($A39-Inputs!$B$80)*IF(AND(Inputs!$B$55=1,$A39&gt;Inputs!$B$84),Inputs!$B$54,1),0)</f>
        <v>1851100.0451316673</v>
      </c>
      <c r="N39" s="16">
        <f>INDEX(Medical!$J$63:$J$109,MATCH($A39,Medical!$A$63:$A$109,0))</f>
        <v>508946.03882352327</v>
      </c>
      <c r="O39" s="16">
        <f>IF($A39&gt;=Inputs!$B$81,Inputs!$B$39,0)</f>
        <v>268000</v>
      </c>
      <c r="P39" s="16">
        <f>IF(AND(Inputs!$B$58=1,$A39=Inputs!$B$57),Inputs!$B$56,0)+IF(AND(Inputs!$B$61=1,$A39&gt;=Inputs!$B$60),Inputs!$B$59,0)</f>
        <v>0</v>
      </c>
      <c r="Q39" s="16">
        <f>D39+E39-H39-I39+J39-K39-L39-M39-N39+O39+P39-IF($A39&lt;Inputs!$B$81,Inputs!$B$42,0)</f>
        <v>-2092046.0839551906</v>
      </c>
      <c r="R39" s="16">
        <f t="shared" si="3"/>
        <v>10137343.919627702</v>
      </c>
      <c r="S39" s="16">
        <f>R39*Inputs!$B$35</f>
        <v>486592.50814212969</v>
      </c>
      <c r="T39" s="16">
        <f>IF($A39=Inputs!$B$81,-Inputs!$B$38,0)</f>
        <v>0</v>
      </c>
      <c r="U39" s="16">
        <f t="shared" si="2"/>
        <v>8531890.3438146412</v>
      </c>
    </row>
    <row r="40" spans="1:21" x14ac:dyDescent="0.25">
      <c r="A40" s="20">
        <v>2062</v>
      </c>
      <c r="B40" s="20">
        <f t="shared" si="0"/>
        <v>90</v>
      </c>
      <c r="C40" s="20">
        <f t="shared" si="1"/>
        <v>85</v>
      </c>
      <c r="D40" s="16">
        <f>IF($A40&lt;Inputs!$B$81,(Inputs!$B$27+Inputs!$B$28)*(1+Inputs!$B$6)^($A40-Inputs!$B$80),0)</f>
        <v>0</v>
      </c>
      <c r="E40" s="16">
        <f>IF($A40&lt;Inputs!$B$82,Inputs!$B$29*(1+Inputs!$B$7)^($A40-Inputs!$B$80),0)</f>
        <v>0</v>
      </c>
      <c r="F40" s="16">
        <f>(Inputs!$B$18+Inputs!$B$20+2*Inputs!$B$21)*(1+Inputs!$B$5)^($A40-Inputs!$B$80)</f>
        <v>960851.4497085691</v>
      </c>
      <c r="G40" s="16">
        <f>Inputs!$B$18*(1+Inputs!$B$5)^($A40-Inputs!$B$80)</f>
        <v>352717.62077909498</v>
      </c>
      <c r="H40" s="16">
        <f>IF(D40=0,0,IF(MAX(D40-Inputs!$B$22-Tax!$B$4/2-F40,0)&gt;200000,Inputs!$B$24+(MAX(D40-Inputs!$B$22-Tax!$B$4/2-F40,0)-200000)*Inputs!$B$23,IF(MAX(D40-Inputs!$B$22-Tax!$B$4/2-F40,0)&gt;150000,9000+(MAX(D40-Inputs!$B$22-Tax!$B$4/2-F40,0)-150000)*0.14,IF(MAX(D40-Inputs!$B$22-Tax!$B$4/2-F40,0)&gt;100000,4000+(MAX(D40-Inputs!$B$22-Tax!$B$4/2-F40,0)-100000)*0.1,IF(MAX(D40-Inputs!$B$22-Tax!$B$4/2-F40,0)&gt;50000,1000+(MAX(D40-Inputs!$B$22-Tax!$B$4/2-F40,0)-50000)*0.06,MAX(MAX(D40-Inputs!$B$22-Tax!$B$4/2-F40,0),0)*0.02)))))</f>
        <v>0</v>
      </c>
      <c r="I40" s="16">
        <f>IF(E40=0,0,IF(MAX(E40-Inputs!$B$22-Tax!$B$4/2-G40,0)&gt;200000,Inputs!$B$24+(MAX(E40-Inputs!$B$22-Tax!$B$4/2-G40,0)-200000)*Inputs!$B$23,IF(MAX(E40-Inputs!$B$22-Tax!$B$4/2-G40,0)&gt;150000,9000+(MAX(E40-Inputs!$B$22-Tax!$B$4/2-G40,0)-150000)*0.14,IF(MAX(E40-Inputs!$B$22-Tax!$B$4/2-G40,0)&gt;100000,4000+(MAX(E40-Inputs!$B$22-Tax!$B$4/2-G40,0)-100000)*0.1,IF(MAX(E40-Inputs!$B$22-Tax!$B$4/2-G40,0)&gt;50000,1000+(MAX(E40-Inputs!$B$22-Tax!$B$4/2-G40,0)-50000)*0.06,MAX(MAX(E40-Inputs!$B$22-Tax!$B$4/2-G40,0),0)*0.02)))))</f>
        <v>0</v>
      </c>
      <c r="J40" s="16">
        <f>IF(D40&gt;0,Inputs!$B$22,0)+IF(E40&gt;0,Inputs!$B$22,0)</f>
        <v>0</v>
      </c>
      <c r="K40" s="16">
        <f>IF($A40&lt;Inputs!$B$81,Inputs!$B$31*(1+Inputs!$B$5)^($A40-Inputs!$B$80),0)</f>
        <v>0</v>
      </c>
      <c r="L40" s="16">
        <f>IF(AND($A40&gt;=Inputs!$B$83,$A40&lt;Inputs!$B$83+Inputs!$B$41),Inputs!$B$40*(1+Inputs!$B$8)^($A40-Inputs!$B$80),0)</f>
        <v>0</v>
      </c>
      <c r="M40" s="16">
        <f>IF($A40&gt;=Inputs!$B$81,Inputs!$B$32*(1+Inputs!$B$5)^($A40-Inputs!$B$80)*IF(AND(Inputs!$B$55=1,$A40&gt;Inputs!$B$84),Inputs!$B$54,1),0)</f>
        <v>1897377.5462599592</v>
      </c>
      <c r="N40" s="16">
        <f>INDEX(Medical!$J$63:$J$109,MATCH($A40,Medical!$A$63:$A$109,0))</f>
        <v>568456.79382758285</v>
      </c>
      <c r="O40" s="16">
        <f>IF($A40&gt;=Inputs!$B$81,Inputs!$B$39,0)</f>
        <v>268000</v>
      </c>
      <c r="P40" s="16">
        <f>IF(AND(Inputs!$B$58=1,$A40=Inputs!$B$57),Inputs!$B$56,0)+IF(AND(Inputs!$B$61=1,$A40&gt;=Inputs!$B$60),Inputs!$B$59,0)</f>
        <v>0</v>
      </c>
      <c r="Q40" s="16">
        <f>D40+E40-H40-I40+J40-K40-L40-M40-N40+O40+P40-IF($A40&lt;Inputs!$B$81,Inputs!$B$42,0)</f>
        <v>-2197834.3400875423</v>
      </c>
      <c r="R40" s="16">
        <f t="shared" si="3"/>
        <v>8531890.3438146412</v>
      </c>
      <c r="S40" s="16">
        <f>R40*Inputs!$B$35</f>
        <v>409530.73650310282</v>
      </c>
      <c r="T40" s="16">
        <f>IF($A40=Inputs!$B$81,-Inputs!$B$38,0)</f>
        <v>0</v>
      </c>
      <c r="U40" s="16">
        <f t="shared" si="2"/>
        <v>6743586.7402302008</v>
      </c>
    </row>
    <row r="41" spans="1:21" x14ac:dyDescent="0.25">
      <c r="A41" s="20">
        <v>2063</v>
      </c>
      <c r="B41" s="20">
        <f t="shared" si="0"/>
        <v>91</v>
      </c>
      <c r="C41" s="20">
        <f t="shared" si="1"/>
        <v>86</v>
      </c>
      <c r="D41" s="16">
        <f>IF($A41&lt;Inputs!$B$81,(Inputs!$B$27+Inputs!$B$28)*(1+Inputs!$B$6)^($A41-Inputs!$B$80),0)</f>
        <v>0</v>
      </c>
      <c r="E41" s="16">
        <f>IF($A41&lt;Inputs!$B$82,Inputs!$B$29*(1+Inputs!$B$7)^($A41-Inputs!$B$80),0)</f>
        <v>0</v>
      </c>
      <c r="F41" s="16">
        <f>(Inputs!$B$18+Inputs!$B$20+2*Inputs!$B$21)*(1+Inputs!$B$5)^($A41-Inputs!$B$80)</f>
        <v>984872.73595128313</v>
      </c>
      <c r="G41" s="16">
        <f>Inputs!$B$18*(1+Inputs!$B$5)^($A41-Inputs!$B$80)</f>
        <v>361535.56129857228</v>
      </c>
      <c r="H41" s="16">
        <f>IF(D41=0,0,IF(MAX(D41-Inputs!$B$22-Tax!$B$4/2-F41,0)&gt;200000,Inputs!$B$24+(MAX(D41-Inputs!$B$22-Tax!$B$4/2-F41,0)-200000)*Inputs!$B$23,IF(MAX(D41-Inputs!$B$22-Tax!$B$4/2-F41,0)&gt;150000,9000+(MAX(D41-Inputs!$B$22-Tax!$B$4/2-F41,0)-150000)*0.14,IF(MAX(D41-Inputs!$B$22-Tax!$B$4/2-F41,0)&gt;100000,4000+(MAX(D41-Inputs!$B$22-Tax!$B$4/2-F41,0)-100000)*0.1,IF(MAX(D41-Inputs!$B$22-Tax!$B$4/2-F41,0)&gt;50000,1000+(MAX(D41-Inputs!$B$22-Tax!$B$4/2-F41,0)-50000)*0.06,MAX(MAX(D41-Inputs!$B$22-Tax!$B$4/2-F41,0),0)*0.02)))))</f>
        <v>0</v>
      </c>
      <c r="I41" s="16">
        <f>IF(E41=0,0,IF(MAX(E41-Inputs!$B$22-Tax!$B$4/2-G41,0)&gt;200000,Inputs!$B$24+(MAX(E41-Inputs!$B$22-Tax!$B$4/2-G41,0)-200000)*Inputs!$B$23,IF(MAX(E41-Inputs!$B$22-Tax!$B$4/2-G41,0)&gt;150000,9000+(MAX(E41-Inputs!$B$22-Tax!$B$4/2-G41,0)-150000)*0.14,IF(MAX(E41-Inputs!$B$22-Tax!$B$4/2-G41,0)&gt;100000,4000+(MAX(E41-Inputs!$B$22-Tax!$B$4/2-G41,0)-100000)*0.1,IF(MAX(E41-Inputs!$B$22-Tax!$B$4/2-G41,0)&gt;50000,1000+(MAX(E41-Inputs!$B$22-Tax!$B$4/2-G41,0)-50000)*0.06,MAX(MAX(E41-Inputs!$B$22-Tax!$B$4/2-G41,0),0)*0.02)))))</f>
        <v>0</v>
      </c>
      <c r="J41" s="16">
        <f>IF(D41&gt;0,Inputs!$B$22,0)+IF(E41&gt;0,Inputs!$B$22,0)</f>
        <v>0</v>
      </c>
      <c r="K41" s="16">
        <f>IF($A41&lt;Inputs!$B$81,Inputs!$B$31*(1+Inputs!$B$5)^($A41-Inputs!$B$80),0)</f>
        <v>0</v>
      </c>
      <c r="L41" s="16">
        <f>IF(AND($A41&gt;=Inputs!$B$83,$A41&lt;Inputs!$B$83+Inputs!$B$41),Inputs!$B$40*(1+Inputs!$B$8)^($A41-Inputs!$B$80),0)</f>
        <v>0</v>
      </c>
      <c r="M41" s="16">
        <f>IF($A41&gt;=Inputs!$B$81,Inputs!$B$32*(1+Inputs!$B$5)^($A41-Inputs!$B$80)*IF(AND(Inputs!$B$55=1,$A41&gt;Inputs!$B$84),Inputs!$B$54,1),0)</f>
        <v>1944811.9849164579</v>
      </c>
      <c r="N41" s="16">
        <f>INDEX(Medical!$J$63:$J$109,MATCH($A41,Medical!$A$63:$A$109,0))</f>
        <v>633925.68689425697</v>
      </c>
      <c r="O41" s="16">
        <f>IF($A41&gt;=Inputs!$B$81,Inputs!$B$39,0)</f>
        <v>268000</v>
      </c>
      <c r="P41" s="16">
        <f>IF(AND(Inputs!$B$58=1,$A41=Inputs!$B$57),Inputs!$B$56,0)+IF(AND(Inputs!$B$61=1,$A41&gt;=Inputs!$B$60),Inputs!$B$59,0)</f>
        <v>0</v>
      </c>
      <c r="Q41" s="16">
        <f>D41+E41-H41-I41+J41-K41-L41-M41-N41+O41+P41-IF($A41&lt;Inputs!$B$81,Inputs!$B$42,0)</f>
        <v>-2310737.671810715</v>
      </c>
      <c r="R41" s="16">
        <f t="shared" si="3"/>
        <v>6743586.7402302008</v>
      </c>
      <c r="S41" s="16">
        <f>R41*Inputs!$B$35</f>
        <v>323692.16353104962</v>
      </c>
      <c r="T41" s="16">
        <f>IF($A41=Inputs!$B$81,-Inputs!$B$38,0)</f>
        <v>0</v>
      </c>
      <c r="U41" s="16">
        <f t="shared" si="2"/>
        <v>4756541.2319505364</v>
      </c>
    </row>
    <row r="42" spans="1:21" x14ac:dyDescent="0.25">
      <c r="A42" s="20">
        <v>2064</v>
      </c>
      <c r="B42" s="20">
        <f t="shared" si="0"/>
        <v>92</v>
      </c>
      <c r="C42" s="20">
        <f t="shared" si="1"/>
        <v>87</v>
      </c>
      <c r="D42" s="16">
        <f>IF($A42&lt;Inputs!$B$81,(Inputs!$B$27+Inputs!$B$28)*(1+Inputs!$B$6)^($A42-Inputs!$B$80),0)</f>
        <v>0</v>
      </c>
      <c r="E42" s="16">
        <f>IF($A42&lt;Inputs!$B$82,Inputs!$B$29*(1+Inputs!$B$7)^($A42-Inputs!$B$80),0)</f>
        <v>0</v>
      </c>
      <c r="F42" s="16">
        <f>(Inputs!$B$18+Inputs!$B$20+2*Inputs!$B$21)*(1+Inputs!$B$5)^($A42-Inputs!$B$80)</f>
        <v>1009494.5543500651</v>
      </c>
      <c r="G42" s="16">
        <f>Inputs!$B$18*(1+Inputs!$B$5)^($A42-Inputs!$B$80)</f>
        <v>370573.95033103653</v>
      </c>
      <c r="H42" s="16">
        <f>IF(D42=0,0,IF(MAX(D42-Inputs!$B$22-Tax!$B$4/2-F42,0)&gt;200000,Inputs!$B$24+(MAX(D42-Inputs!$B$22-Tax!$B$4/2-F42,0)-200000)*Inputs!$B$23,IF(MAX(D42-Inputs!$B$22-Tax!$B$4/2-F42,0)&gt;150000,9000+(MAX(D42-Inputs!$B$22-Tax!$B$4/2-F42,0)-150000)*0.14,IF(MAX(D42-Inputs!$B$22-Tax!$B$4/2-F42,0)&gt;100000,4000+(MAX(D42-Inputs!$B$22-Tax!$B$4/2-F42,0)-100000)*0.1,IF(MAX(D42-Inputs!$B$22-Tax!$B$4/2-F42,0)&gt;50000,1000+(MAX(D42-Inputs!$B$22-Tax!$B$4/2-F42,0)-50000)*0.06,MAX(MAX(D42-Inputs!$B$22-Tax!$B$4/2-F42,0),0)*0.02)))))</f>
        <v>0</v>
      </c>
      <c r="I42" s="16">
        <f>IF(E42=0,0,IF(MAX(E42-Inputs!$B$22-Tax!$B$4/2-G42,0)&gt;200000,Inputs!$B$24+(MAX(E42-Inputs!$B$22-Tax!$B$4/2-G42,0)-200000)*Inputs!$B$23,IF(MAX(E42-Inputs!$B$22-Tax!$B$4/2-G42,0)&gt;150000,9000+(MAX(E42-Inputs!$B$22-Tax!$B$4/2-G42,0)-150000)*0.14,IF(MAX(E42-Inputs!$B$22-Tax!$B$4/2-G42,0)&gt;100000,4000+(MAX(E42-Inputs!$B$22-Tax!$B$4/2-G42,0)-100000)*0.1,IF(MAX(E42-Inputs!$B$22-Tax!$B$4/2-G42,0)&gt;50000,1000+(MAX(E42-Inputs!$B$22-Tax!$B$4/2-G42,0)-50000)*0.06,MAX(MAX(E42-Inputs!$B$22-Tax!$B$4/2-G42,0),0)*0.02)))))</f>
        <v>0</v>
      </c>
      <c r="J42" s="16">
        <f>IF(D42&gt;0,Inputs!$B$22,0)+IF(E42&gt;0,Inputs!$B$22,0)</f>
        <v>0</v>
      </c>
      <c r="K42" s="16">
        <f>IF($A42&lt;Inputs!$B$81,Inputs!$B$31*(1+Inputs!$B$5)^($A42-Inputs!$B$80),0)</f>
        <v>0</v>
      </c>
      <c r="L42" s="16">
        <f>IF(AND($A42&gt;=Inputs!$B$83,$A42&lt;Inputs!$B$83+Inputs!$B$41),Inputs!$B$40*(1+Inputs!$B$8)^($A42-Inputs!$B$80),0)</f>
        <v>0</v>
      </c>
      <c r="M42" s="16">
        <f>IF($A42&gt;=Inputs!$B$81,Inputs!$B$32*(1+Inputs!$B$5)^($A42-Inputs!$B$80)*IF(AND(Inputs!$B$55=1,$A42&gt;Inputs!$B$84),Inputs!$B$54,1),0)</f>
        <v>1993432.2845393689</v>
      </c>
      <c r="N42" s="16">
        <f>INDEX(Medical!$J$63:$J$109,MATCH($A42,Medical!$A$63:$A$109,0))</f>
        <v>705928.80200788286</v>
      </c>
      <c r="O42" s="16">
        <f>IF($A42&gt;=Inputs!$B$81,Inputs!$B$39,0)</f>
        <v>268000</v>
      </c>
      <c r="P42" s="16">
        <f>IF(AND(Inputs!$B$58=1,$A42=Inputs!$B$57),Inputs!$B$56,0)+IF(AND(Inputs!$B$61=1,$A42&gt;=Inputs!$B$60),Inputs!$B$59,0)</f>
        <v>0</v>
      </c>
      <c r="Q42" s="16">
        <f>D42+E42-H42-I42+J42-K42-L42-M42-N42+O42+P42-IF($A42&lt;Inputs!$B$81,Inputs!$B$42,0)</f>
        <v>-2431361.0865472518</v>
      </c>
      <c r="R42" s="16">
        <f t="shared" si="3"/>
        <v>4756541.2319505364</v>
      </c>
      <c r="S42" s="16">
        <f>R42*Inputs!$B$35</f>
        <v>228313.97913362575</v>
      </c>
      <c r="T42" s="16">
        <f>IF($A42=Inputs!$B$81,-Inputs!$B$38,0)</f>
        <v>0</v>
      </c>
      <c r="U42" s="16">
        <f t="shared" si="2"/>
        <v>2553494.1245369101</v>
      </c>
    </row>
    <row r="43" spans="1:21" x14ac:dyDescent="0.25">
      <c r="A43" s="20">
        <v>2065</v>
      </c>
      <c r="B43" s="20">
        <f t="shared" si="0"/>
        <v>93</v>
      </c>
      <c r="C43" s="20">
        <f t="shared" si="1"/>
        <v>88</v>
      </c>
      <c r="D43" s="16">
        <f>IF($A43&lt;Inputs!$B$81,(Inputs!$B$27+Inputs!$B$28)*(1+Inputs!$B$6)^($A43-Inputs!$B$80),0)</f>
        <v>0</v>
      </c>
      <c r="E43" s="16">
        <f>IF($A43&lt;Inputs!$B$82,Inputs!$B$29*(1+Inputs!$B$7)^($A43-Inputs!$B$80),0)</f>
        <v>0</v>
      </c>
      <c r="F43" s="16">
        <f>(Inputs!$B$18+Inputs!$B$20+2*Inputs!$B$21)*(1+Inputs!$B$5)^($A43-Inputs!$B$80)</f>
        <v>1034731.9182088168</v>
      </c>
      <c r="G43" s="16">
        <f>Inputs!$B$18*(1+Inputs!$B$5)^($A43-Inputs!$B$80)</f>
        <v>379838.2990893125</v>
      </c>
      <c r="H43" s="16">
        <f>IF(D43=0,0,IF(MAX(D43-Inputs!$B$22-Tax!$B$4/2-F43,0)&gt;200000,Inputs!$B$24+(MAX(D43-Inputs!$B$22-Tax!$B$4/2-F43,0)-200000)*Inputs!$B$23,IF(MAX(D43-Inputs!$B$22-Tax!$B$4/2-F43,0)&gt;150000,9000+(MAX(D43-Inputs!$B$22-Tax!$B$4/2-F43,0)-150000)*0.14,IF(MAX(D43-Inputs!$B$22-Tax!$B$4/2-F43,0)&gt;100000,4000+(MAX(D43-Inputs!$B$22-Tax!$B$4/2-F43,0)-100000)*0.1,IF(MAX(D43-Inputs!$B$22-Tax!$B$4/2-F43,0)&gt;50000,1000+(MAX(D43-Inputs!$B$22-Tax!$B$4/2-F43,0)-50000)*0.06,MAX(MAX(D43-Inputs!$B$22-Tax!$B$4/2-F43,0),0)*0.02)))))</f>
        <v>0</v>
      </c>
      <c r="I43" s="16">
        <f>IF(E43=0,0,IF(MAX(E43-Inputs!$B$22-Tax!$B$4/2-G43,0)&gt;200000,Inputs!$B$24+(MAX(E43-Inputs!$B$22-Tax!$B$4/2-G43,0)-200000)*Inputs!$B$23,IF(MAX(E43-Inputs!$B$22-Tax!$B$4/2-G43,0)&gt;150000,9000+(MAX(E43-Inputs!$B$22-Tax!$B$4/2-G43,0)-150000)*0.14,IF(MAX(E43-Inputs!$B$22-Tax!$B$4/2-G43,0)&gt;100000,4000+(MAX(E43-Inputs!$B$22-Tax!$B$4/2-G43,0)-100000)*0.1,IF(MAX(E43-Inputs!$B$22-Tax!$B$4/2-G43,0)&gt;50000,1000+(MAX(E43-Inputs!$B$22-Tax!$B$4/2-G43,0)-50000)*0.06,MAX(MAX(E43-Inputs!$B$22-Tax!$B$4/2-G43,0),0)*0.02)))))</f>
        <v>0</v>
      </c>
      <c r="J43" s="16">
        <f>IF(D43&gt;0,Inputs!$B$22,0)+IF(E43&gt;0,Inputs!$B$22,0)</f>
        <v>0</v>
      </c>
      <c r="K43" s="16">
        <f>IF($A43&lt;Inputs!$B$81,Inputs!$B$31*(1+Inputs!$B$5)^($A43-Inputs!$B$80),0)</f>
        <v>0</v>
      </c>
      <c r="L43" s="16">
        <f>IF(AND($A43&gt;=Inputs!$B$83,$A43&lt;Inputs!$B$83+Inputs!$B$41),Inputs!$B$40*(1+Inputs!$B$8)^($A43-Inputs!$B$80),0)</f>
        <v>0</v>
      </c>
      <c r="M43" s="16">
        <f>IF($A43&gt;=Inputs!$B$81,Inputs!$B$32*(1+Inputs!$B$5)^($A43-Inputs!$B$80)*IF(AND(Inputs!$B$55=1,$A43&gt;Inputs!$B$84),Inputs!$B$54,1),0)</f>
        <v>2043268.0916528534</v>
      </c>
      <c r="N43" s="16">
        <f>INDEX(Medical!$J$63:$J$109,MATCH($A43,Medical!$A$63:$A$109,0))</f>
        <v>785097.43630947405</v>
      </c>
      <c r="O43" s="16">
        <f>IF($A43&gt;=Inputs!$B$81,Inputs!$B$39,0)</f>
        <v>268000</v>
      </c>
      <c r="P43" s="16">
        <f>IF(AND(Inputs!$B$58=1,$A43=Inputs!$B$57),Inputs!$B$56,0)+IF(AND(Inputs!$B$61=1,$A43&gt;=Inputs!$B$60),Inputs!$B$59,0)</f>
        <v>0</v>
      </c>
      <c r="Q43" s="16">
        <f>D43+E43-H43-I43+J43-K43-L43-M43-N43+O43+P43-IF($A43&lt;Inputs!$B$81,Inputs!$B$42,0)</f>
        <v>-2560365.5279623275</v>
      </c>
      <c r="R43" s="16">
        <f t="shared" si="3"/>
        <v>2553494.1245369101</v>
      </c>
      <c r="S43" s="16">
        <f>R43*Inputs!$B$35</f>
        <v>122567.71797777168</v>
      </c>
      <c r="T43" s="16">
        <f>IF($A43=Inputs!$B$81,-Inputs!$B$38,0)</f>
        <v>0</v>
      </c>
      <c r="U43" s="16">
        <f t="shared" si="2"/>
        <v>115696.31455235416</v>
      </c>
    </row>
    <row r="44" spans="1:21" x14ac:dyDescent="0.25">
      <c r="A44" s="22">
        <v>2066</v>
      </c>
      <c r="B44" s="22">
        <f t="shared" si="0"/>
        <v>94</v>
      </c>
      <c r="C44" s="22">
        <f t="shared" si="1"/>
        <v>89</v>
      </c>
      <c r="D44" s="23">
        <f>IF($A44&lt;Inputs!$B$81,(Inputs!$B$27+Inputs!$B$28)*(1+Inputs!$B$6)^($A44-Inputs!$B$80),0)</f>
        <v>0</v>
      </c>
      <c r="E44" s="23">
        <f>IF($A44&lt;Inputs!$B$82,Inputs!$B$29*(1+Inputs!$B$7)^($A44-Inputs!$B$80),0)</f>
        <v>0</v>
      </c>
      <c r="F44" s="23">
        <f>(Inputs!$B$18+Inputs!$B$20+2*Inputs!$B$21)*(1+Inputs!$B$5)^($A44-Inputs!$B$80)</f>
        <v>1060600.2161640371</v>
      </c>
      <c r="G44" s="23">
        <f>Inputs!$B$18*(1+Inputs!$B$5)^($A44-Inputs!$B$80)</f>
        <v>389334.25656654523</v>
      </c>
      <c r="H44" s="23">
        <f>IF(D44=0,0,IF(MAX(D44-Inputs!$B$22-Tax!$B$4/2-F44,0)&gt;200000,Inputs!$B$24+(MAX(D44-Inputs!$B$22-Tax!$B$4/2-F44,0)-200000)*Inputs!$B$23,IF(MAX(D44-Inputs!$B$22-Tax!$B$4/2-F44,0)&gt;150000,9000+(MAX(D44-Inputs!$B$22-Tax!$B$4/2-F44,0)-150000)*0.14,IF(MAX(D44-Inputs!$B$22-Tax!$B$4/2-F44,0)&gt;100000,4000+(MAX(D44-Inputs!$B$22-Tax!$B$4/2-F44,0)-100000)*0.1,IF(MAX(D44-Inputs!$B$22-Tax!$B$4/2-F44,0)&gt;50000,1000+(MAX(D44-Inputs!$B$22-Tax!$B$4/2-F44,0)-50000)*0.06,MAX(MAX(D44-Inputs!$B$22-Tax!$B$4/2-F44,0),0)*0.02)))))</f>
        <v>0</v>
      </c>
      <c r="I44" s="23">
        <f>IF(E44=0,0,IF(MAX(E44-Inputs!$B$22-Tax!$B$4/2-G44,0)&gt;200000,Inputs!$B$24+(MAX(E44-Inputs!$B$22-Tax!$B$4/2-G44,0)-200000)*Inputs!$B$23,IF(MAX(E44-Inputs!$B$22-Tax!$B$4/2-G44,0)&gt;150000,9000+(MAX(E44-Inputs!$B$22-Tax!$B$4/2-G44,0)-150000)*0.14,IF(MAX(E44-Inputs!$B$22-Tax!$B$4/2-G44,0)&gt;100000,4000+(MAX(E44-Inputs!$B$22-Tax!$B$4/2-G44,0)-100000)*0.1,IF(MAX(E44-Inputs!$B$22-Tax!$B$4/2-G44,0)&gt;50000,1000+(MAX(E44-Inputs!$B$22-Tax!$B$4/2-G44,0)-50000)*0.06,MAX(MAX(E44-Inputs!$B$22-Tax!$B$4/2-G44,0),0)*0.02)))))</f>
        <v>0</v>
      </c>
      <c r="J44" s="23">
        <f>IF(D44&gt;0,Inputs!$B$22,0)+IF(E44&gt;0,Inputs!$B$22,0)</f>
        <v>0</v>
      </c>
      <c r="K44" s="23">
        <f>IF($A44&lt;Inputs!$B$81,Inputs!$B$31*(1+Inputs!$B$5)^($A44-Inputs!$B$80),0)</f>
        <v>0</v>
      </c>
      <c r="L44" s="23">
        <f>IF(AND($A44&gt;=Inputs!$B$83,$A44&lt;Inputs!$B$83+Inputs!$B$41),Inputs!$B$40*(1+Inputs!$B$8)^($A44-Inputs!$B$80),0)</f>
        <v>0</v>
      </c>
      <c r="M44" s="23">
        <f>IF($A44&gt;=Inputs!$B$81,Inputs!$B$32*(1+Inputs!$B$5)^($A44-Inputs!$B$80)*IF(AND(Inputs!$B$55=1,$A44&gt;Inputs!$B$84),Inputs!$B$54,1),0)</f>
        <v>2094349.7939441744</v>
      </c>
      <c r="N44" s="23">
        <f>INDEX(Medical!$J$63:$J$109,MATCH($A44,Medical!$A$63:$A$109,0))</f>
        <v>872123.3798012404</v>
      </c>
      <c r="O44" s="23">
        <f>IF($A44&gt;=Inputs!$B$81,Inputs!$B$39,0)</f>
        <v>268000</v>
      </c>
      <c r="P44" s="23">
        <f>IF(AND(Inputs!$B$58=1,$A44=Inputs!$B$57),Inputs!$B$56,0)+IF(AND(Inputs!$B$61=1,$A44&gt;=Inputs!$B$60),Inputs!$B$59,0)</f>
        <v>0</v>
      </c>
      <c r="Q44" s="23">
        <f>D44+E44-H44-I44+J44-K44-L44-M44-N44+O44+P44-IF($A44&lt;Inputs!$B$81,Inputs!$B$42,0)</f>
        <v>-2698473.1737454147</v>
      </c>
      <c r="R44" s="23">
        <f t="shared" si="3"/>
        <v>115696.31455235416</v>
      </c>
      <c r="S44" s="23">
        <f>R44*Inputs!$B$35</f>
        <v>5553.4230985129998</v>
      </c>
      <c r="T44" s="23">
        <f>IF($A44=Inputs!$B$81,-Inputs!$B$38,0)</f>
        <v>0</v>
      </c>
      <c r="U44" s="23">
        <f t="shared" si="2"/>
        <v>0</v>
      </c>
    </row>
    <row r="45" spans="1:21" x14ac:dyDescent="0.25">
      <c r="A45" s="20">
        <v>2067</v>
      </c>
      <c r="B45" s="20">
        <f t="shared" si="0"/>
        <v>95</v>
      </c>
      <c r="C45" s="20">
        <f t="shared" si="1"/>
        <v>90</v>
      </c>
      <c r="D45" s="16">
        <f>IF($A45&lt;Inputs!$B$81,(Inputs!$B$27+Inputs!$B$28)*(1+Inputs!$B$6)^($A45-Inputs!$B$80),0)</f>
        <v>0</v>
      </c>
      <c r="E45" s="16">
        <f>IF($A45&lt;Inputs!$B$82,Inputs!$B$29*(1+Inputs!$B$7)^($A45-Inputs!$B$80),0)</f>
        <v>0</v>
      </c>
      <c r="F45" s="16">
        <f>(Inputs!$B$18+Inputs!$B$20+2*Inputs!$B$21)*(1+Inputs!$B$5)^($A45-Inputs!$B$80)</f>
        <v>1087115.2215681379</v>
      </c>
      <c r="G45" s="16">
        <f>Inputs!$B$18*(1+Inputs!$B$5)^($A45-Inputs!$B$80)</f>
        <v>399067.61298070889</v>
      </c>
      <c r="H45" s="16">
        <f>IF(D45=0,0,IF(MAX(D45-Inputs!$B$22-Tax!$B$4/2-F45,0)&gt;200000,Inputs!$B$24+(MAX(D45-Inputs!$B$22-Tax!$B$4/2-F45,0)-200000)*Inputs!$B$23,IF(MAX(D45-Inputs!$B$22-Tax!$B$4/2-F45,0)&gt;150000,9000+(MAX(D45-Inputs!$B$22-Tax!$B$4/2-F45,0)-150000)*0.14,IF(MAX(D45-Inputs!$B$22-Tax!$B$4/2-F45,0)&gt;100000,4000+(MAX(D45-Inputs!$B$22-Tax!$B$4/2-F45,0)-100000)*0.1,IF(MAX(D45-Inputs!$B$22-Tax!$B$4/2-F45,0)&gt;50000,1000+(MAX(D45-Inputs!$B$22-Tax!$B$4/2-F45,0)-50000)*0.06,MAX(MAX(D45-Inputs!$B$22-Tax!$B$4/2-F45,0),0)*0.02)))))</f>
        <v>0</v>
      </c>
      <c r="I45" s="16">
        <f>IF(E45=0,0,IF(MAX(E45-Inputs!$B$22-Tax!$B$4/2-G45,0)&gt;200000,Inputs!$B$24+(MAX(E45-Inputs!$B$22-Tax!$B$4/2-G45,0)-200000)*Inputs!$B$23,IF(MAX(E45-Inputs!$B$22-Tax!$B$4/2-G45,0)&gt;150000,9000+(MAX(E45-Inputs!$B$22-Tax!$B$4/2-G45,0)-150000)*0.14,IF(MAX(E45-Inputs!$B$22-Tax!$B$4/2-G45,0)&gt;100000,4000+(MAX(E45-Inputs!$B$22-Tax!$B$4/2-G45,0)-100000)*0.1,IF(MAX(E45-Inputs!$B$22-Tax!$B$4/2-G45,0)&gt;50000,1000+(MAX(E45-Inputs!$B$22-Tax!$B$4/2-G45,0)-50000)*0.06,MAX(MAX(E45-Inputs!$B$22-Tax!$B$4/2-G45,0),0)*0.02)))))</f>
        <v>0</v>
      </c>
      <c r="J45" s="16">
        <f>IF(D45&gt;0,Inputs!$B$22,0)+IF(E45&gt;0,Inputs!$B$22,0)</f>
        <v>0</v>
      </c>
      <c r="K45" s="16">
        <f>IF($A45&lt;Inputs!$B$81,Inputs!$B$31*(1+Inputs!$B$5)^($A45-Inputs!$B$80),0)</f>
        <v>0</v>
      </c>
      <c r="L45" s="16">
        <f>IF(AND($A45&gt;=Inputs!$B$83,$A45&lt;Inputs!$B$83+Inputs!$B$41),Inputs!$B$40*(1+Inputs!$B$8)^($A45-Inputs!$B$80),0)</f>
        <v>0</v>
      </c>
      <c r="M45" s="16">
        <f>IF($A45&gt;=Inputs!$B$81,Inputs!$B$32*(1+Inputs!$B$5)^($A45-Inputs!$B$80)*IF(AND(Inputs!$B$55=1,$A45&gt;Inputs!$B$84),Inputs!$B$54,1),0)</f>
        <v>2146708.5387927787</v>
      </c>
      <c r="N45" s="16">
        <f>INDEX(Medical!$J$63:$J$109,MATCH($A45,Medical!$A$63:$A$109,0))</f>
        <v>967764.69961750961</v>
      </c>
      <c r="O45" s="16">
        <f>IF($A45&gt;=Inputs!$B$81,Inputs!$B$39,0)</f>
        <v>268000</v>
      </c>
      <c r="P45" s="16">
        <f>IF(AND(Inputs!$B$58=1,$A45=Inputs!$B$57),Inputs!$B$56,0)+IF(AND(Inputs!$B$61=1,$A45&gt;=Inputs!$B$60),Inputs!$B$59,0)</f>
        <v>0</v>
      </c>
      <c r="Q45" s="16">
        <f>D45+E45-H45-I45+J45-K45-L45-M45-N45+O45+P45-IF($A45&lt;Inputs!$B$81,Inputs!$B$42,0)</f>
        <v>-2846473.2384102885</v>
      </c>
      <c r="R45" s="16">
        <f t="shared" si="3"/>
        <v>0</v>
      </c>
      <c r="S45" s="16">
        <f>R45*Inputs!$B$35</f>
        <v>0</v>
      </c>
      <c r="T45" s="16">
        <f>IF($A45=Inputs!$B$81,-Inputs!$B$38,0)</f>
        <v>0</v>
      </c>
      <c r="U45" s="16">
        <f t="shared" si="2"/>
        <v>0</v>
      </c>
    </row>
    <row r="46" spans="1:21" x14ac:dyDescent="0.25">
      <c r="A46" s="20">
        <v>2068</v>
      </c>
      <c r="B46" s="20">
        <f t="shared" si="0"/>
        <v>96</v>
      </c>
      <c r="C46" s="20">
        <f t="shared" si="1"/>
        <v>91</v>
      </c>
      <c r="D46" s="16">
        <f>IF($A46&lt;Inputs!$B$81,(Inputs!$B$27+Inputs!$B$28)*(1+Inputs!$B$6)^($A46-Inputs!$B$80),0)</f>
        <v>0</v>
      </c>
      <c r="E46" s="16">
        <f>IF($A46&lt;Inputs!$B$82,Inputs!$B$29*(1+Inputs!$B$7)^($A46-Inputs!$B$80),0)</f>
        <v>0</v>
      </c>
      <c r="F46" s="16">
        <f>(Inputs!$B$18+Inputs!$B$20+2*Inputs!$B$21)*(1+Inputs!$B$5)^($A46-Inputs!$B$80)</f>
        <v>1114293.1021073414</v>
      </c>
      <c r="G46" s="16">
        <f>Inputs!$B$18*(1+Inputs!$B$5)^($A46-Inputs!$B$80)</f>
        <v>409044.30330522655</v>
      </c>
      <c r="H46" s="16">
        <f>IF(D46=0,0,IF(MAX(D46-Inputs!$B$22-Tax!$B$4/2-F46,0)&gt;200000,Inputs!$B$24+(MAX(D46-Inputs!$B$22-Tax!$B$4/2-F46,0)-200000)*Inputs!$B$23,IF(MAX(D46-Inputs!$B$22-Tax!$B$4/2-F46,0)&gt;150000,9000+(MAX(D46-Inputs!$B$22-Tax!$B$4/2-F46,0)-150000)*0.14,IF(MAX(D46-Inputs!$B$22-Tax!$B$4/2-F46,0)&gt;100000,4000+(MAX(D46-Inputs!$B$22-Tax!$B$4/2-F46,0)-100000)*0.1,IF(MAX(D46-Inputs!$B$22-Tax!$B$4/2-F46,0)&gt;50000,1000+(MAX(D46-Inputs!$B$22-Tax!$B$4/2-F46,0)-50000)*0.06,MAX(MAX(D46-Inputs!$B$22-Tax!$B$4/2-F46,0),0)*0.02)))))</f>
        <v>0</v>
      </c>
      <c r="I46" s="16">
        <f>IF(E46=0,0,IF(MAX(E46-Inputs!$B$22-Tax!$B$4/2-G46,0)&gt;200000,Inputs!$B$24+(MAX(E46-Inputs!$B$22-Tax!$B$4/2-G46,0)-200000)*Inputs!$B$23,IF(MAX(E46-Inputs!$B$22-Tax!$B$4/2-G46,0)&gt;150000,9000+(MAX(E46-Inputs!$B$22-Tax!$B$4/2-G46,0)-150000)*0.14,IF(MAX(E46-Inputs!$B$22-Tax!$B$4/2-G46,0)&gt;100000,4000+(MAX(E46-Inputs!$B$22-Tax!$B$4/2-G46,0)-100000)*0.1,IF(MAX(E46-Inputs!$B$22-Tax!$B$4/2-G46,0)&gt;50000,1000+(MAX(E46-Inputs!$B$22-Tax!$B$4/2-G46,0)-50000)*0.06,MAX(MAX(E46-Inputs!$B$22-Tax!$B$4/2-G46,0),0)*0.02)))))</f>
        <v>0</v>
      </c>
      <c r="J46" s="16">
        <f>IF(D46&gt;0,Inputs!$B$22,0)+IF(E46&gt;0,Inputs!$B$22,0)</f>
        <v>0</v>
      </c>
      <c r="K46" s="16">
        <f>IF($A46&lt;Inputs!$B$81,Inputs!$B$31*(1+Inputs!$B$5)^($A46-Inputs!$B$80),0)</f>
        <v>0</v>
      </c>
      <c r="L46" s="16">
        <f>IF(AND($A46&gt;=Inputs!$B$83,$A46&lt;Inputs!$B$83+Inputs!$B$41),Inputs!$B$40*(1+Inputs!$B$8)^($A46-Inputs!$B$80),0)</f>
        <v>0</v>
      </c>
      <c r="M46" s="16">
        <f>IF($A46&gt;=Inputs!$B$81,Inputs!$B$32*(1+Inputs!$B$5)^($A46-Inputs!$B$80)*IF(AND(Inputs!$B$55=1,$A46&gt;Inputs!$B$84),Inputs!$B$54,1),0)</f>
        <v>2200376.2522625979</v>
      </c>
      <c r="N46" s="16">
        <f>INDEX(Medical!$J$63:$J$109,MATCH($A46,Medical!$A$63:$A$109,0))</f>
        <v>1072852.0770745291</v>
      </c>
      <c r="O46" s="16">
        <f>IF($A46&gt;=Inputs!$B$81,Inputs!$B$39,0)</f>
        <v>268000</v>
      </c>
      <c r="P46" s="16">
        <f>IF(AND(Inputs!$B$58=1,$A46=Inputs!$B$57),Inputs!$B$56,0)+IF(AND(Inputs!$B$61=1,$A46&gt;=Inputs!$B$60),Inputs!$B$59,0)</f>
        <v>0</v>
      </c>
      <c r="Q46" s="16">
        <f>D46+E46-H46-I46+J46-K46-L46-M46-N46+O46+P46-IF($A46&lt;Inputs!$B$81,Inputs!$B$42,0)</f>
        <v>-3005228.329337127</v>
      </c>
      <c r="R46" s="16">
        <f t="shared" si="3"/>
        <v>0</v>
      </c>
      <c r="S46" s="16">
        <f>R46*Inputs!$B$35</f>
        <v>0</v>
      </c>
      <c r="T46" s="16">
        <f>IF($A46=Inputs!$B$81,-Inputs!$B$38,0)</f>
        <v>0</v>
      </c>
      <c r="U46" s="16">
        <f t="shared" si="2"/>
        <v>0</v>
      </c>
    </row>
    <row r="47" spans="1:21" x14ac:dyDescent="0.25">
      <c r="A47" s="20">
        <v>2069</v>
      </c>
      <c r="B47" s="20">
        <f t="shared" si="0"/>
        <v>97</v>
      </c>
      <c r="C47" s="20">
        <f t="shared" si="1"/>
        <v>92</v>
      </c>
      <c r="D47" s="16">
        <f>IF($A47&lt;Inputs!$B$81,(Inputs!$B$27+Inputs!$B$28)*(1+Inputs!$B$6)^($A47-Inputs!$B$80),0)</f>
        <v>0</v>
      </c>
      <c r="E47" s="16">
        <f>IF($A47&lt;Inputs!$B$82,Inputs!$B$29*(1+Inputs!$B$7)^($A47-Inputs!$B$80),0)</f>
        <v>0</v>
      </c>
      <c r="F47" s="16">
        <f>(Inputs!$B$18+Inputs!$B$20+2*Inputs!$B$21)*(1+Inputs!$B$5)^($A47-Inputs!$B$80)</f>
        <v>1142150.4296600248</v>
      </c>
      <c r="G47" s="16">
        <f>Inputs!$B$18*(1+Inputs!$B$5)^($A47-Inputs!$B$80)</f>
        <v>419270.41088785726</v>
      </c>
      <c r="H47" s="16">
        <f>IF(D47=0,0,IF(MAX(D47-Inputs!$B$22-Tax!$B$4/2-F47,0)&gt;200000,Inputs!$B$24+(MAX(D47-Inputs!$B$22-Tax!$B$4/2-F47,0)-200000)*Inputs!$B$23,IF(MAX(D47-Inputs!$B$22-Tax!$B$4/2-F47,0)&gt;150000,9000+(MAX(D47-Inputs!$B$22-Tax!$B$4/2-F47,0)-150000)*0.14,IF(MAX(D47-Inputs!$B$22-Tax!$B$4/2-F47,0)&gt;100000,4000+(MAX(D47-Inputs!$B$22-Tax!$B$4/2-F47,0)-100000)*0.1,IF(MAX(D47-Inputs!$B$22-Tax!$B$4/2-F47,0)&gt;50000,1000+(MAX(D47-Inputs!$B$22-Tax!$B$4/2-F47,0)-50000)*0.06,MAX(MAX(D47-Inputs!$B$22-Tax!$B$4/2-F47,0),0)*0.02)))))</f>
        <v>0</v>
      </c>
      <c r="I47" s="16">
        <f>IF(E47=0,0,IF(MAX(E47-Inputs!$B$22-Tax!$B$4/2-G47,0)&gt;200000,Inputs!$B$24+(MAX(E47-Inputs!$B$22-Tax!$B$4/2-G47,0)-200000)*Inputs!$B$23,IF(MAX(E47-Inputs!$B$22-Tax!$B$4/2-G47,0)&gt;150000,9000+(MAX(E47-Inputs!$B$22-Tax!$B$4/2-G47,0)-150000)*0.14,IF(MAX(E47-Inputs!$B$22-Tax!$B$4/2-G47,0)&gt;100000,4000+(MAX(E47-Inputs!$B$22-Tax!$B$4/2-G47,0)-100000)*0.1,IF(MAX(E47-Inputs!$B$22-Tax!$B$4/2-G47,0)&gt;50000,1000+(MAX(E47-Inputs!$B$22-Tax!$B$4/2-G47,0)-50000)*0.06,MAX(MAX(E47-Inputs!$B$22-Tax!$B$4/2-G47,0),0)*0.02)))))</f>
        <v>0</v>
      </c>
      <c r="J47" s="16">
        <f>IF(D47&gt;0,Inputs!$B$22,0)+IF(E47&gt;0,Inputs!$B$22,0)</f>
        <v>0</v>
      </c>
      <c r="K47" s="16">
        <f>IF($A47&lt;Inputs!$B$81,Inputs!$B$31*(1+Inputs!$B$5)^($A47-Inputs!$B$80),0)</f>
        <v>0</v>
      </c>
      <c r="L47" s="16">
        <f>IF(AND($A47&gt;=Inputs!$B$83,$A47&lt;Inputs!$B$83+Inputs!$B$41),Inputs!$B$40*(1+Inputs!$B$8)^($A47-Inputs!$B$80),0)</f>
        <v>0</v>
      </c>
      <c r="M47" s="16">
        <f>IF($A47&gt;=Inputs!$B$81,Inputs!$B$32*(1+Inputs!$B$5)^($A47-Inputs!$B$80)*IF(AND(Inputs!$B$55=1,$A47&gt;Inputs!$B$84),Inputs!$B$54,1),0)</f>
        <v>2255385.6585691632</v>
      </c>
      <c r="N47" s="16">
        <f>INDEX(Medical!$J$63:$J$109,MATCH($A47,Medical!$A$63:$A$109,0))</f>
        <v>1188295.7503182599</v>
      </c>
      <c r="O47" s="16">
        <f>IF($A47&gt;=Inputs!$B$81,Inputs!$B$39,0)</f>
        <v>268000</v>
      </c>
      <c r="P47" s="16">
        <f>IF(AND(Inputs!$B$58=1,$A47=Inputs!$B$57),Inputs!$B$56,0)+IF(AND(Inputs!$B$61=1,$A47&gt;=Inputs!$B$60),Inputs!$B$59,0)</f>
        <v>0</v>
      </c>
      <c r="Q47" s="16">
        <f>D47+E47-H47-I47+J47-K47-L47-M47-N47+O47+P47-IF($A47&lt;Inputs!$B$81,Inputs!$B$42,0)</f>
        <v>-3175681.4088874231</v>
      </c>
      <c r="R47" s="16">
        <f t="shared" si="3"/>
        <v>0</v>
      </c>
      <c r="S47" s="16">
        <f>R47*Inputs!$B$35</f>
        <v>0</v>
      </c>
      <c r="T47" s="16">
        <f>IF($A47=Inputs!$B$81,-Inputs!$B$38,0)</f>
        <v>0</v>
      </c>
      <c r="U47" s="16">
        <f t="shared" si="2"/>
        <v>0</v>
      </c>
    </row>
    <row r="48" spans="1:21" x14ac:dyDescent="0.25">
      <c r="A48" s="20">
        <v>2070</v>
      </c>
      <c r="B48" s="20">
        <f t="shared" si="0"/>
        <v>98</v>
      </c>
      <c r="C48" s="20">
        <f t="shared" si="1"/>
        <v>93</v>
      </c>
      <c r="D48" s="16">
        <f>IF($A48&lt;Inputs!$B$81,(Inputs!$B$27+Inputs!$B$28)*(1+Inputs!$B$6)^($A48-Inputs!$B$80),0)</f>
        <v>0</v>
      </c>
      <c r="E48" s="16">
        <f>IF($A48&lt;Inputs!$B$82,Inputs!$B$29*(1+Inputs!$B$7)^($A48-Inputs!$B$80),0)</f>
        <v>0</v>
      </c>
      <c r="F48" s="16">
        <f>(Inputs!$B$18+Inputs!$B$20+2*Inputs!$B$21)*(1+Inputs!$B$5)^($A48-Inputs!$B$80)</f>
        <v>1170704.1904015252</v>
      </c>
      <c r="G48" s="16">
        <f>Inputs!$B$18*(1+Inputs!$B$5)^($A48-Inputs!$B$80)</f>
        <v>429752.17116005358</v>
      </c>
      <c r="H48" s="16">
        <f>IF(D48=0,0,IF(MAX(D48-Inputs!$B$22-Tax!$B$4/2-F48,0)&gt;200000,Inputs!$B$24+(MAX(D48-Inputs!$B$22-Tax!$B$4/2-F48,0)-200000)*Inputs!$B$23,IF(MAX(D48-Inputs!$B$22-Tax!$B$4/2-F48,0)&gt;150000,9000+(MAX(D48-Inputs!$B$22-Tax!$B$4/2-F48,0)-150000)*0.14,IF(MAX(D48-Inputs!$B$22-Tax!$B$4/2-F48,0)&gt;100000,4000+(MAX(D48-Inputs!$B$22-Tax!$B$4/2-F48,0)-100000)*0.1,IF(MAX(D48-Inputs!$B$22-Tax!$B$4/2-F48,0)&gt;50000,1000+(MAX(D48-Inputs!$B$22-Tax!$B$4/2-F48,0)-50000)*0.06,MAX(MAX(D48-Inputs!$B$22-Tax!$B$4/2-F48,0),0)*0.02)))))</f>
        <v>0</v>
      </c>
      <c r="I48" s="16">
        <f>IF(E48=0,0,IF(MAX(E48-Inputs!$B$22-Tax!$B$4/2-G48,0)&gt;200000,Inputs!$B$24+(MAX(E48-Inputs!$B$22-Tax!$B$4/2-G48,0)-200000)*Inputs!$B$23,IF(MAX(E48-Inputs!$B$22-Tax!$B$4/2-G48,0)&gt;150000,9000+(MAX(E48-Inputs!$B$22-Tax!$B$4/2-G48,0)-150000)*0.14,IF(MAX(E48-Inputs!$B$22-Tax!$B$4/2-G48,0)&gt;100000,4000+(MAX(E48-Inputs!$B$22-Tax!$B$4/2-G48,0)-100000)*0.1,IF(MAX(E48-Inputs!$B$22-Tax!$B$4/2-G48,0)&gt;50000,1000+(MAX(E48-Inputs!$B$22-Tax!$B$4/2-G48,0)-50000)*0.06,MAX(MAX(E48-Inputs!$B$22-Tax!$B$4/2-G48,0),0)*0.02)))))</f>
        <v>0</v>
      </c>
      <c r="J48" s="16">
        <f>IF(D48&gt;0,Inputs!$B$22,0)+IF(E48&gt;0,Inputs!$B$22,0)</f>
        <v>0</v>
      </c>
      <c r="K48" s="16">
        <f>IF($A48&lt;Inputs!$B$81,Inputs!$B$31*(1+Inputs!$B$5)^($A48-Inputs!$B$80),0)</f>
        <v>0</v>
      </c>
      <c r="L48" s="16">
        <f>IF(AND($A48&gt;=Inputs!$B$83,$A48&lt;Inputs!$B$83+Inputs!$B$41),Inputs!$B$40*(1+Inputs!$B$8)^($A48-Inputs!$B$80),0)</f>
        <v>0</v>
      </c>
      <c r="M48" s="16">
        <f>IF($A48&gt;=Inputs!$B$81,Inputs!$B$32*(1+Inputs!$B$5)^($A48-Inputs!$B$80)*IF(AND(Inputs!$B$55=1,$A48&gt;Inputs!$B$84),Inputs!$B$54,1),0)</f>
        <v>2311770.3000333915</v>
      </c>
      <c r="N48" s="16">
        <f>INDEX(Medical!$J$63:$J$109,MATCH($A48,Medical!$A$63:$A$109,0))</f>
        <v>1315093.1204360425</v>
      </c>
      <c r="O48" s="16">
        <f>IF($A48&gt;=Inputs!$B$81,Inputs!$B$39,0)</f>
        <v>268000</v>
      </c>
      <c r="P48" s="16">
        <f>IF(AND(Inputs!$B$58=1,$A48=Inputs!$B$57),Inputs!$B$56,0)+IF(AND(Inputs!$B$61=1,$A48&gt;=Inputs!$B$60),Inputs!$B$59,0)</f>
        <v>0</v>
      </c>
      <c r="Q48" s="16">
        <f>D48+E48-H48-I48+J48-K48-L48-M48-N48+O48+P48-IF($A48&lt;Inputs!$B$81,Inputs!$B$42,0)</f>
        <v>-3358863.420469434</v>
      </c>
      <c r="R48" s="16">
        <f t="shared" si="3"/>
        <v>0</v>
      </c>
      <c r="S48" s="16">
        <f>R48*Inputs!$B$35</f>
        <v>0</v>
      </c>
      <c r="T48" s="16">
        <f>IF($A48=Inputs!$B$81,-Inputs!$B$38,0)</f>
        <v>0</v>
      </c>
      <c r="U48" s="16">
        <f t="shared" si="2"/>
        <v>0</v>
      </c>
    </row>
    <row r="49" spans="1:21" x14ac:dyDescent="0.25">
      <c r="A49" s="20">
        <v>2071</v>
      </c>
      <c r="B49" s="20">
        <f t="shared" si="0"/>
        <v>99</v>
      </c>
      <c r="C49" s="20">
        <f t="shared" si="1"/>
        <v>94</v>
      </c>
      <c r="D49" s="16">
        <f>IF($A49&lt;Inputs!$B$81,(Inputs!$B$27+Inputs!$B$28)*(1+Inputs!$B$6)^($A49-Inputs!$B$80),0)</f>
        <v>0</v>
      </c>
      <c r="E49" s="16">
        <f>IF($A49&lt;Inputs!$B$82,Inputs!$B$29*(1+Inputs!$B$7)^($A49-Inputs!$B$80),0)</f>
        <v>0</v>
      </c>
      <c r="F49" s="16">
        <f>(Inputs!$B$18+Inputs!$B$20+2*Inputs!$B$21)*(1+Inputs!$B$5)^($A49-Inputs!$B$80)</f>
        <v>1199971.7951615634</v>
      </c>
      <c r="G49" s="16">
        <f>Inputs!$B$18*(1+Inputs!$B$5)^($A49-Inputs!$B$80)</f>
        <v>440495.97543905495</v>
      </c>
      <c r="H49" s="16">
        <f>IF(D49=0,0,IF(MAX(D49-Inputs!$B$22-Tax!$B$4/2-F49,0)&gt;200000,Inputs!$B$24+(MAX(D49-Inputs!$B$22-Tax!$B$4/2-F49,0)-200000)*Inputs!$B$23,IF(MAX(D49-Inputs!$B$22-Tax!$B$4/2-F49,0)&gt;150000,9000+(MAX(D49-Inputs!$B$22-Tax!$B$4/2-F49,0)-150000)*0.14,IF(MAX(D49-Inputs!$B$22-Tax!$B$4/2-F49,0)&gt;100000,4000+(MAX(D49-Inputs!$B$22-Tax!$B$4/2-F49,0)-100000)*0.1,IF(MAX(D49-Inputs!$B$22-Tax!$B$4/2-F49,0)&gt;50000,1000+(MAX(D49-Inputs!$B$22-Tax!$B$4/2-F49,0)-50000)*0.06,MAX(MAX(D49-Inputs!$B$22-Tax!$B$4/2-F49,0),0)*0.02)))))</f>
        <v>0</v>
      </c>
      <c r="I49" s="16">
        <f>IF(E49=0,0,IF(MAX(E49-Inputs!$B$22-Tax!$B$4/2-G49,0)&gt;200000,Inputs!$B$24+(MAX(E49-Inputs!$B$22-Tax!$B$4/2-G49,0)-200000)*Inputs!$B$23,IF(MAX(E49-Inputs!$B$22-Tax!$B$4/2-G49,0)&gt;150000,9000+(MAX(E49-Inputs!$B$22-Tax!$B$4/2-G49,0)-150000)*0.14,IF(MAX(E49-Inputs!$B$22-Tax!$B$4/2-G49,0)&gt;100000,4000+(MAX(E49-Inputs!$B$22-Tax!$B$4/2-G49,0)-100000)*0.1,IF(MAX(E49-Inputs!$B$22-Tax!$B$4/2-G49,0)&gt;50000,1000+(MAX(E49-Inputs!$B$22-Tax!$B$4/2-G49,0)-50000)*0.06,MAX(MAX(E49-Inputs!$B$22-Tax!$B$4/2-G49,0),0)*0.02)))))</f>
        <v>0</v>
      </c>
      <c r="J49" s="16">
        <f>IF(D49&gt;0,Inputs!$B$22,0)+IF(E49&gt;0,Inputs!$B$22,0)</f>
        <v>0</v>
      </c>
      <c r="K49" s="16">
        <f>IF($A49&lt;Inputs!$B$81,Inputs!$B$31*(1+Inputs!$B$5)^($A49-Inputs!$B$80),0)</f>
        <v>0</v>
      </c>
      <c r="L49" s="16">
        <f>IF(AND($A49&gt;=Inputs!$B$83,$A49&lt;Inputs!$B$83+Inputs!$B$41),Inputs!$B$40*(1+Inputs!$B$8)^($A49-Inputs!$B$80),0)</f>
        <v>0</v>
      </c>
      <c r="M49" s="16">
        <f>IF($A49&gt;=Inputs!$B$81,Inputs!$B$32*(1+Inputs!$B$5)^($A49-Inputs!$B$80)*IF(AND(Inputs!$B$55=1,$A49&gt;Inputs!$B$84),Inputs!$B$54,1),0)</f>
        <v>2369564.5575342267</v>
      </c>
      <c r="N49" s="16">
        <f>INDEX(Medical!$J$63:$J$109,MATCH($A49,Medical!$A$63:$A$109,0))</f>
        <v>1454337.0844270117</v>
      </c>
      <c r="O49" s="16">
        <f>IF($A49&gt;=Inputs!$B$81,Inputs!$B$39,0)</f>
        <v>268000</v>
      </c>
      <c r="P49" s="16">
        <f>IF(AND(Inputs!$B$58=1,$A49=Inputs!$B$57),Inputs!$B$56,0)+IF(AND(Inputs!$B$61=1,$A49&gt;=Inputs!$B$60),Inputs!$B$59,0)</f>
        <v>0</v>
      </c>
      <c r="Q49" s="16">
        <f>D49+E49-H49-I49+J49-K49-L49-M49-N49+O49+P49-IF($A49&lt;Inputs!$B$81,Inputs!$B$42,0)</f>
        <v>-3555901.6419612383</v>
      </c>
      <c r="R49" s="16">
        <f t="shared" si="3"/>
        <v>0</v>
      </c>
      <c r="S49" s="16">
        <f>R49*Inputs!$B$35</f>
        <v>0</v>
      </c>
      <c r="T49" s="16">
        <f>IF($A49=Inputs!$B$81,-Inputs!$B$38,0)</f>
        <v>0</v>
      </c>
      <c r="U49" s="16">
        <f t="shared" si="2"/>
        <v>0</v>
      </c>
    </row>
    <row r="50" spans="1:21" x14ac:dyDescent="0.25">
      <c r="A50" s="22">
        <v>2072</v>
      </c>
      <c r="B50" s="22">
        <f t="shared" si="0"/>
        <v>100</v>
      </c>
      <c r="C50" s="22">
        <f t="shared" si="1"/>
        <v>95</v>
      </c>
      <c r="D50" s="23">
        <f>IF($A50&lt;Inputs!$B$81,(Inputs!$B$27+Inputs!$B$28)*(1+Inputs!$B$6)^($A50-Inputs!$B$80),0)</f>
        <v>0</v>
      </c>
      <c r="E50" s="23">
        <f>IF($A50&lt;Inputs!$B$82,Inputs!$B$29*(1+Inputs!$B$7)^($A50-Inputs!$B$80),0)</f>
        <v>0</v>
      </c>
      <c r="F50" s="23">
        <f>(Inputs!$B$18+Inputs!$B$20+2*Inputs!$B$21)*(1+Inputs!$B$5)^($A50-Inputs!$B$80)</f>
        <v>1229971.0900406023</v>
      </c>
      <c r="G50" s="23">
        <f>Inputs!$B$18*(1+Inputs!$B$5)^($A50-Inputs!$B$80)</f>
        <v>451508.37482503121</v>
      </c>
      <c r="H50" s="23">
        <f>IF(D50=0,0,IF(MAX(D50-Inputs!$B$22-Tax!$B$4/2-F50,0)&gt;200000,Inputs!$B$24+(MAX(D50-Inputs!$B$22-Tax!$B$4/2-F50,0)-200000)*Inputs!$B$23,IF(MAX(D50-Inputs!$B$22-Tax!$B$4/2-F50,0)&gt;150000,9000+(MAX(D50-Inputs!$B$22-Tax!$B$4/2-F50,0)-150000)*0.14,IF(MAX(D50-Inputs!$B$22-Tax!$B$4/2-F50,0)&gt;100000,4000+(MAX(D50-Inputs!$B$22-Tax!$B$4/2-F50,0)-100000)*0.1,IF(MAX(D50-Inputs!$B$22-Tax!$B$4/2-F50,0)&gt;50000,1000+(MAX(D50-Inputs!$B$22-Tax!$B$4/2-F50,0)-50000)*0.06,MAX(MAX(D50-Inputs!$B$22-Tax!$B$4/2-F50,0),0)*0.02)))))</f>
        <v>0</v>
      </c>
      <c r="I50" s="23">
        <f>IF(E50=0,0,IF(MAX(E50-Inputs!$B$22-Tax!$B$4/2-G50,0)&gt;200000,Inputs!$B$24+(MAX(E50-Inputs!$B$22-Tax!$B$4/2-G50,0)-200000)*Inputs!$B$23,IF(MAX(E50-Inputs!$B$22-Tax!$B$4/2-G50,0)&gt;150000,9000+(MAX(E50-Inputs!$B$22-Tax!$B$4/2-G50,0)-150000)*0.14,IF(MAX(E50-Inputs!$B$22-Tax!$B$4/2-G50,0)&gt;100000,4000+(MAX(E50-Inputs!$B$22-Tax!$B$4/2-G50,0)-100000)*0.1,IF(MAX(E50-Inputs!$B$22-Tax!$B$4/2-G50,0)&gt;50000,1000+(MAX(E50-Inputs!$B$22-Tax!$B$4/2-G50,0)-50000)*0.06,MAX(MAX(E50-Inputs!$B$22-Tax!$B$4/2-G50,0),0)*0.02)))))</f>
        <v>0</v>
      </c>
      <c r="J50" s="23">
        <f>IF(D50&gt;0,Inputs!$B$22,0)+IF(E50&gt;0,Inputs!$B$22,0)</f>
        <v>0</v>
      </c>
      <c r="K50" s="23">
        <f>IF($A50&lt;Inputs!$B$81,Inputs!$B$31*(1+Inputs!$B$5)^($A50-Inputs!$B$80),0)</f>
        <v>0</v>
      </c>
      <c r="L50" s="23">
        <f>IF(AND($A50&gt;=Inputs!$B$83,$A50&lt;Inputs!$B$83+Inputs!$B$41),Inputs!$B$40*(1+Inputs!$B$8)^($A50-Inputs!$B$80),0)</f>
        <v>0</v>
      </c>
      <c r="M50" s="23">
        <f>IF($A50&gt;=Inputs!$B$81,Inputs!$B$32*(1+Inputs!$B$5)^($A50-Inputs!$B$80)*IF(AND(Inputs!$B$55=1,$A50&gt;Inputs!$B$84),Inputs!$B$54,1),0)</f>
        <v>2428803.6714725816</v>
      </c>
      <c r="N50" s="23">
        <f>INDEX(Medical!$J$63:$J$109,MATCH($A50,Medical!$A$63:$A$109,0))</f>
        <v>1607225.1644833817</v>
      </c>
      <c r="O50" s="23">
        <f>IF($A50&gt;=Inputs!$B$81,Inputs!$B$39,0)</f>
        <v>268000</v>
      </c>
      <c r="P50" s="23">
        <f>IF(AND(Inputs!$B$58=1,$A50=Inputs!$B$57),Inputs!$B$56,0)+IF(AND(Inputs!$B$61=1,$A50&gt;=Inputs!$B$60),Inputs!$B$59,0)</f>
        <v>0</v>
      </c>
      <c r="Q50" s="23">
        <f>D50+E50-H50-I50+J50-K50-L50-M50-N50+O50+P50-IF($A50&lt;Inputs!$B$81,Inputs!$B$42,0)</f>
        <v>-3768028.8359559635</v>
      </c>
      <c r="R50" s="23">
        <f t="shared" si="3"/>
        <v>0</v>
      </c>
      <c r="S50" s="23">
        <f>R50*Inputs!$B$35</f>
        <v>0</v>
      </c>
      <c r="T50" s="23">
        <f>IF($A50=Inputs!$B$81,-Inputs!$B$38,0)</f>
        <v>0</v>
      </c>
      <c r="U50" s="23">
        <f t="shared" si="2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defaultRowHeight="15" x14ac:dyDescent="0.25"/>
  <cols>
    <col min="1" max="1" width="48" customWidth="1"/>
    <col min="2" max="2" width="18" customWidth="1"/>
  </cols>
  <sheetData>
    <row r="1" spans="1:2" ht="16.5" x14ac:dyDescent="0.25">
      <c r="A1" s="1" t="s">
        <v>240</v>
      </c>
    </row>
    <row r="2" spans="1:2" x14ac:dyDescent="0.25">
      <c r="A2" s="2" t="s">
        <v>241</v>
      </c>
    </row>
    <row r="4" spans="1:2" x14ac:dyDescent="0.25">
      <c r="A4" s="3" t="s">
        <v>242</v>
      </c>
      <c r="B4" s="4"/>
    </row>
    <row r="5" spans="1:2" x14ac:dyDescent="0.25">
      <c r="A5" s="5" t="s">
        <v>243</v>
      </c>
      <c r="B5" s="24">
        <f>BalanceSheet!B33</f>
        <v>24405000</v>
      </c>
    </row>
    <row r="6" spans="1:2" x14ac:dyDescent="0.25">
      <c r="A6" s="5" t="s">
        <v>244</v>
      </c>
      <c r="B6" s="24">
        <f>BalanceSheet!$B$37</f>
        <v>9790000</v>
      </c>
    </row>
    <row r="7" spans="1:2" x14ac:dyDescent="0.25">
      <c r="A7" s="5" t="s">
        <v>245</v>
      </c>
      <c r="B7" s="24">
        <f>Tax!B27-Inputs!$B$42</f>
        <v>604630</v>
      </c>
    </row>
    <row r="8" spans="1:2" x14ac:dyDescent="0.25">
      <c r="A8" s="5" t="s">
        <v>246</v>
      </c>
      <c r="B8" s="25">
        <f>BalanceSheet!B7/(Inputs!$B$31/12)</f>
        <v>30.487804878048781</v>
      </c>
    </row>
    <row r="9" spans="1:2" x14ac:dyDescent="0.25">
      <c r="A9" s="3" t="s">
        <v>247</v>
      </c>
      <c r="B9" s="4"/>
    </row>
    <row r="10" spans="1:2" x14ac:dyDescent="0.25">
      <c r="A10" s="5" t="s">
        <v>248</v>
      </c>
      <c r="B10" s="24">
        <f>Tax!B15</f>
        <v>181770</v>
      </c>
    </row>
    <row r="11" spans="1:2" x14ac:dyDescent="0.25">
      <c r="A11" s="5" t="s">
        <v>249</v>
      </c>
      <c r="B11" s="24">
        <f>Tax!B16</f>
        <v>199770</v>
      </c>
    </row>
    <row r="12" spans="1:2" x14ac:dyDescent="0.25">
      <c r="A12" s="5" t="s">
        <v>250</v>
      </c>
      <c r="B12" s="24">
        <f>Tax!B17</f>
        <v>18000</v>
      </c>
    </row>
    <row r="13" spans="1:2" x14ac:dyDescent="0.25">
      <c r="A13" s="3" t="s">
        <v>251</v>
      </c>
      <c r="B13" s="4"/>
    </row>
    <row r="14" spans="1:2" x14ac:dyDescent="0.25">
      <c r="A14" s="5" t="s">
        <v>252</v>
      </c>
      <c r="B14" s="24">
        <f>INDEX(Projection!U:U,MATCH(Inputs!$B$81,Projection!A:A,0))</f>
        <v>21017126.919702914</v>
      </c>
    </row>
    <row r="15" spans="1:2" x14ac:dyDescent="0.25">
      <c r="A15" s="5" t="s">
        <v>253</v>
      </c>
      <c r="B15" s="24">
        <f>INDEX(Projection!U:U,MATCH(Inputs!$B$85,Projection!A:A,0))</f>
        <v>0</v>
      </c>
    </row>
    <row r="16" spans="1:2" x14ac:dyDescent="0.25">
      <c r="A16" s="5" t="s">
        <v>254</v>
      </c>
      <c r="B16" s="24">
        <f>INDEX(Projection!U:U,MATCH(Inputs!$B$86,Projection!A:A,0))</f>
        <v>0</v>
      </c>
    </row>
    <row r="17" spans="1:2" x14ac:dyDescent="0.25">
      <c r="A17" s="5" t="s">
        <v>255</v>
      </c>
      <c r="B17" s="24">
        <f>INDEX(Projection!U:U,MATCH(Inputs!$B$81,Projection!A:A,0))/(1+Inputs!$B$5)^(Inputs!$B$81-Inputs!$B$80)</f>
        <v>16018093.618086508</v>
      </c>
    </row>
    <row r="18" spans="1:2" x14ac:dyDescent="0.25">
      <c r="A18" s="5" t="s">
        <v>256</v>
      </c>
      <c r="B18" s="24">
        <f>Inputs!$B$32*(1-(1+0.02)^-29)/0.02</f>
        <v>17038620.036379099</v>
      </c>
    </row>
    <row r="19" spans="1:2" x14ac:dyDescent="0.25">
      <c r="A19" s="5" t="s">
        <v>257</v>
      </c>
      <c r="B19" s="26">
        <f>IFERROR(INDEX(Projection!A4:A50,MATCH(0,Projection!U4:U50,0)),0)</f>
        <v>2066</v>
      </c>
    </row>
    <row r="20" spans="1:2" x14ac:dyDescent="0.25">
      <c r="A20" s="5" t="s">
        <v>258</v>
      </c>
      <c r="B20" s="26">
        <f>IF(B19=0,"lasts",B19-1977)</f>
        <v>89</v>
      </c>
    </row>
    <row r="21" spans="1:2" x14ac:dyDescent="0.25">
      <c r="A21" s="5" t="s">
        <v>259</v>
      </c>
      <c r="B21" s="27" t="str">
        <f>IF(INDEX(Projection!U:U,MATCH(Inputs!$B$85,Projection!A:A,0))&gt;0,"YES","NO")</f>
        <v>NO</v>
      </c>
    </row>
    <row r="22" spans="1:2" x14ac:dyDescent="0.25">
      <c r="A22" s="5" t="s">
        <v>260</v>
      </c>
      <c r="B22" s="27" t="str">
        <f>IF(INDEX(Projection!U:U,MATCH(Inputs!$B$86,Projection!A:A,0))&gt;0,"YES","NO")</f>
        <v>NO</v>
      </c>
    </row>
    <row r="23" spans="1:2" x14ac:dyDescent="0.25">
      <c r="A23" s="3" t="s">
        <v>261</v>
      </c>
      <c r="B23" s="4"/>
    </row>
    <row r="24" spans="1:2" x14ac:dyDescent="0.25">
      <c r="A24" s="5" t="s">
        <v>262</v>
      </c>
      <c r="B24" s="24">
        <f>SUM(Projection!L4:L50)</f>
        <v>2851147.6875</v>
      </c>
    </row>
    <row r="25" spans="1:2" x14ac:dyDescent="0.25">
      <c r="A25" s="5" t="s">
        <v>263</v>
      </c>
      <c r="B25" s="24">
        <f>INDEX(Projection!N:N,MATCH(Inputs!$B$81,Projection!A:A,0))</f>
        <v>0</v>
      </c>
    </row>
    <row r="26" spans="1:2" x14ac:dyDescent="0.25">
      <c r="A26" s="5" t="s">
        <v>264</v>
      </c>
      <c r="B26" s="24">
        <f>INDEX(Projection!N:N,MATCH(Inputs!$B$85,Projection!A:A,0))</f>
        <v>872123.3798012404</v>
      </c>
    </row>
    <row r="27" spans="1:2" x14ac:dyDescent="0.25">
      <c r="A27" s="5" t="s">
        <v>265</v>
      </c>
      <c r="B27" s="24">
        <f>SUMPRODUCT((Projection!A4:A50&lt;=Inputs!$B$85)*Projection!N4:N50)</f>
        <v>11842102.254778726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BalanceSheet</vt:lpstr>
      <vt:lpstr>Tax</vt:lpstr>
      <vt:lpstr>Medical</vt:lpstr>
      <vt:lpstr>Projection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u3653805@connect.hku.hk</cp:lastModifiedBy>
  <dcterms:created xsi:type="dcterms:W3CDTF">2026-09-30T06:42:06Z</dcterms:created>
  <dcterms:modified xsi:type="dcterms:W3CDTF">2026-09-30T06:42:08Z</dcterms:modified>
</cp:coreProperties>
</file>