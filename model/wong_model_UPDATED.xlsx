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BalanceSheet" sheetId="2" state="visible" r:id="rId4"/>
    <sheet name="Tax" sheetId="3" state="visible" r:id="rId5"/>
    <sheet name="Projection" sheetId="4" state="visible" r:id="rId6"/>
    <sheet name="Outpu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<sst xmlns="http://schemas.openxmlformats.org/spreadsheetml/2006/main" count="188" uniqueCount="175">
  <si>
    <t xml:space="preserve">Wong Family model — INPUTS</t>
  </si>
  <si>
    <t xml:space="preserve">Blue = hardcoded input. Edit only blue cells. Source in column D.</t>
  </si>
  <si>
    <t xml:space="preserve">ECONOMIC</t>
  </si>
  <si>
    <t xml:space="preserve">CPI inflation</t>
  </si>
  <si>
    <t xml:space="preserve">Pete lock table; HK 2006-25 avg 2.52%</t>
  </si>
  <si>
    <t xml:space="preserve">Wage growth — Adrian</t>
  </si>
  <si>
    <t xml:space="preserve">Pete lock table</t>
  </si>
  <si>
    <t xml:space="preserve">Wage growth — Carmen</t>
  </si>
  <si>
    <t xml:space="preserve">Education escalation (overseas)</t>
  </si>
  <si>
    <t xml:space="preserve">RETURNS (nominal)</t>
  </si>
  <si>
    <t xml:space="preserve">Equities</t>
  </si>
  <si>
    <t xml:space="preserve">Fahtai 27 Sep: conservative vs Pete's 7.0%</t>
  </si>
  <si>
    <t xml:space="preserve">Equity volatility</t>
  </si>
  <si>
    <t xml:space="preserve">Pete lock table 16-18%</t>
  </si>
  <si>
    <t xml:space="preserve">Bonds / IG</t>
  </si>
  <si>
    <t xml:space="preserve">Treasury ladder</t>
  </si>
  <si>
    <t xml:space="preserve">held to maturity, vol ~2%</t>
  </si>
  <si>
    <t xml:space="preserve">MPF</t>
  </si>
  <si>
    <t xml:space="preserve">Cash — time deposits</t>
  </si>
  <si>
    <t xml:space="preserve">Pete: 3.0% 2027-28 -&gt; 2.5% by 2031</t>
  </si>
  <si>
    <t xml:space="preserve">Cash — idle balances</t>
  </si>
  <si>
    <t xml:space="preserve">TAX 2026/27</t>
  </si>
  <si>
    <t xml:space="preserve">Basic allowance</t>
  </si>
  <si>
    <t xml:space="preserve">IR (Amendment) Ordinance 2026</t>
  </si>
  <si>
    <t xml:space="preserve">Married allowance</t>
  </si>
  <si>
    <t xml:space="preserve">Child allowance</t>
  </si>
  <si>
    <t xml:space="preserve">Dependent parent 60+ (each)</t>
  </si>
  <si>
    <t xml:space="preserve">2 parents assumed, claimed by Adrian</t>
  </si>
  <si>
    <t xml:space="preserve">MPF deduction cap</t>
  </si>
  <si>
    <t xml:space="preserve">per person</t>
  </si>
  <si>
    <t xml:space="preserve">Top marginal rate</t>
  </si>
  <si>
    <t xml:space="preserve">progressive 2/6/10/14 then 17</t>
  </si>
  <si>
    <t xml:space="preserve">Tax on first 200,000</t>
  </si>
  <si>
    <t xml:space="preserve">2%+6%+10%+14% on 50k bands</t>
  </si>
  <si>
    <t xml:space="preserve">Mortgage rate (for HLI deduction)</t>
  </si>
  <si>
    <t xml:space="preserve">FAMILY</t>
  </si>
  <si>
    <t xml:space="preserve">Adrian's salary</t>
  </si>
  <si>
    <t xml:space="preserve">case</t>
  </si>
  <si>
    <t xml:space="preserve">Adrian's bonus (planning = low end)</t>
  </si>
  <si>
    <t xml:space="preserve">case 150-300k; conservative</t>
  </si>
  <si>
    <t xml:space="preserve">Carmen's salary / dividend</t>
  </si>
  <si>
    <t xml:space="preserve">case; treated as all salary</t>
  </si>
  <si>
    <t xml:space="preserve">Ryan's salary (EXCLUDED from base case)</t>
  </si>
  <si>
    <t xml:space="preserve">case; Goal 3 treats him separately</t>
  </si>
  <si>
    <t xml:space="preserve">Household expenses (annual)</t>
  </si>
  <si>
    <t xml:space="preserve">case 82,000/month</t>
  </si>
  <si>
    <t xml:space="preserve">Retirement spending (today money)</t>
  </si>
  <si>
    <t xml:space="preserve">Retirement income floor %</t>
  </si>
  <si>
    <t xml:space="preserve">Pete, C&amp;SD HES 2024/25 top quartile</t>
  </si>
  <si>
    <t xml:space="preserve">MODEL LEVERS</t>
  </si>
  <si>
    <t xml:space="preserve">Portfolio return — plan (nominal)</t>
  </si>
  <si>
    <t xml:space="preserve">mix 2: 40% eq @6% + 60% ladder @4%</t>
  </si>
  <si>
    <t xml:space="preserve">Portfolio return — status quo (nominal)</t>
  </si>
  <si>
    <t xml:space="preserve">unmanaged, cash-heavy. TEAM TO AGREE</t>
  </si>
  <si>
    <t xml:space="preserve">Emergency reserve target (months)</t>
  </si>
  <si>
    <t xml:space="preserve">vs 30.5 today</t>
  </si>
  <si>
    <t xml:space="preserve">Annuity purchase cost at 2037</t>
  </si>
  <si>
    <t xml:space="preserve">Pete: MPF 2.31M (A) + 1.81M (C)</t>
  </si>
  <si>
    <t xml:space="preserve">Annuity income (HKMC, annual)</t>
  </si>
  <si>
    <t xml:space="preserve">Pete: HKMC payout at 65</t>
  </si>
  <si>
    <t xml:space="preserve">Education — overseas annual (today)</t>
  </si>
  <si>
    <t xml:space="preserve">case high end, conservative</t>
  </si>
  <si>
    <t xml:space="preserve">Education — years</t>
  </si>
  <si>
    <t xml:space="preserve">4-year degree</t>
  </si>
  <si>
    <t xml:space="preserve">Insurance premiums (Lookbua, TBC)</t>
  </si>
  <si>
    <t xml:space="preserve">PLACEHOLDER — reduces surplus</t>
  </si>
  <si>
    <t xml:space="preserve">DATES</t>
  </si>
  <si>
    <t xml:space="preserve">Base year</t>
  </si>
  <si>
    <t xml:space="preserve">model start</t>
  </si>
  <si>
    <t xml:space="preserve">Adrian retires (age 65)</t>
  </si>
  <si>
    <t xml:space="preserve">Carmen retires (age 62)</t>
  </si>
  <si>
    <t xml:space="preserve">Chloe starts university</t>
  </si>
  <si>
    <t xml:space="preserve">age 18</t>
  </si>
  <si>
    <t xml:space="preserve">Carmen age 89</t>
  </si>
  <si>
    <t xml:space="preserve">base horizon</t>
  </si>
  <si>
    <t xml:space="preserve">Carmen age 95</t>
  </si>
  <si>
    <t xml:space="preserve">stress horizon</t>
  </si>
  <si>
    <t xml:space="preserve">Balance sheet — case validation</t>
  </si>
  <si>
    <t xml:space="preserve">LIQUID</t>
  </si>
  <si>
    <t xml:space="preserve">Savings and current accounts</t>
  </si>
  <si>
    <t xml:space="preserve">Time deposits</t>
  </si>
  <si>
    <t xml:space="preserve">Money market / short bond fund</t>
  </si>
  <si>
    <t xml:space="preserve">Total liquid</t>
  </si>
  <si>
    <t xml:space="preserve">INVESTMENT</t>
  </si>
  <si>
    <t xml:space="preserve">HK equity funds</t>
  </si>
  <si>
    <t xml:space="preserve">Global equity funds</t>
  </si>
  <si>
    <t xml:space="preserve">Investment-grade bond funds</t>
  </si>
  <si>
    <t xml:space="preserve">ESG / sustainable equity funds</t>
  </si>
  <si>
    <t xml:space="preserve">Green / sustainable bond products</t>
  </si>
  <si>
    <t xml:space="preserve">Listed stocks and REITs</t>
  </si>
  <si>
    <t xml:space="preserve">Adrian's MPF</t>
  </si>
  <si>
    <t xml:space="preserve">Carmen's MPF</t>
  </si>
  <si>
    <t xml:space="preserve">Ryan's MPF</t>
  </si>
  <si>
    <t xml:space="preserve">Digital assets (all Ryan)</t>
  </si>
  <si>
    <t xml:space="preserve">Cash value of life policies</t>
  </si>
  <si>
    <t xml:space="preserve">Total investment</t>
  </si>
  <si>
    <t xml:space="preserve">FIXED</t>
  </si>
  <si>
    <t xml:space="preserve">Residential property</t>
  </si>
  <si>
    <t xml:space="preserve">Carmen's business</t>
  </si>
  <si>
    <t xml:space="preserve">Motor vehicle</t>
  </si>
  <si>
    <t xml:space="preserve">Total fixed</t>
  </si>
  <si>
    <t xml:space="preserve">LIABILITIES</t>
  </si>
  <si>
    <t xml:space="preserve">Mortgage</t>
  </si>
  <si>
    <t xml:space="preserve">Business term loan</t>
  </si>
  <si>
    <t xml:space="preserve">Credit card / revolving</t>
  </si>
  <si>
    <t xml:space="preserve">Total liabilities</t>
  </si>
  <si>
    <t xml:space="preserve">TOTAL ASSETS</t>
  </si>
  <si>
    <t xml:space="preserve">NET WORTH</t>
  </si>
  <si>
    <t xml:space="preserve">CHECK vs case (should be 0)</t>
  </si>
  <si>
    <t xml:space="preserve">Parents' investable pool (ex Ryan's MPF and digital)</t>
  </si>
  <si>
    <t xml:space="preserve">Salaries tax 2026/27 — separate vs joint assessment</t>
  </si>
  <si>
    <t xml:space="preserve">Confirms Pete: separate beats joint by exactly HK$18,000</t>
  </si>
  <si>
    <t xml:space="preserve">HLI total (mortgage x rate)</t>
  </si>
  <si>
    <t xml:space="preserve">Adrian</t>
  </si>
  <si>
    <t xml:space="preserve">Carmen</t>
  </si>
  <si>
    <t xml:space="preserve">Joint</t>
  </si>
  <si>
    <t xml:space="preserve">Ryan</t>
  </si>
  <si>
    <t xml:space="preserve">Income</t>
  </si>
  <si>
    <t xml:space="preserve">less MPF</t>
  </si>
  <si>
    <t xml:space="preserve">less home loan int</t>
  </si>
  <si>
    <t xml:space="preserve">Net income</t>
  </si>
  <si>
    <t xml:space="preserve">less allowances</t>
  </si>
  <si>
    <t xml:space="preserve">Net chargeable income</t>
  </si>
  <si>
    <t xml:space="preserve">TAX (progressive)</t>
  </si>
  <si>
    <t xml:space="preserve">COUPLE — separate</t>
  </si>
  <si>
    <t xml:space="preserve">COUPLE — joint</t>
  </si>
  <si>
    <t xml:space="preserve">Separate saves</t>
  </si>
  <si>
    <t xml:space="preserve">CHECK separate = 181,770</t>
  </si>
  <si>
    <t xml:space="preserve">CHECK joint = 199,770</t>
  </si>
  <si>
    <t xml:space="preserve">ANNUAL SURPLUS (parents, after tax and MPF)</t>
  </si>
  <si>
    <t xml:space="preserve">Gross income</t>
  </si>
  <si>
    <t xml:space="preserve">less tax</t>
  </si>
  <si>
    <t xml:space="preserve">less expenses</t>
  </si>
  <si>
    <t xml:space="preserve">SURPLUS</t>
  </si>
  <si>
    <t xml:space="preserve">Year-by-year projection 2026-2072 — every cell driven by the Inputs tab</t>
  </si>
  <si>
    <t xml:space="preserve">Black = formula. Change nothing here; change Inputs.</t>
  </si>
  <si>
    <t xml:space="preserve">Year</t>
  </si>
  <si>
    <t xml:space="preserve">Age A</t>
  </si>
  <si>
    <t xml:space="preserve">Age C</t>
  </si>
  <si>
    <t xml:space="preserve">Income A</t>
  </si>
  <si>
    <t xml:space="preserve">Income C</t>
  </si>
  <si>
    <t xml:space="preserve">Allow A</t>
  </si>
  <si>
    <t xml:space="preserve">Allow C</t>
  </si>
  <si>
    <t xml:space="preserve">Tax A</t>
  </si>
  <si>
    <t xml:space="preserve">Tax C</t>
  </si>
  <si>
    <t xml:space="preserve">Living exp</t>
  </si>
  <si>
    <t xml:space="preserve">Education</t>
  </si>
  <si>
    <t xml:space="preserve">Retire spend</t>
  </si>
  <si>
    <t xml:space="preserve">Annuity inc</t>
  </si>
  <si>
    <t xml:space="preserve">Net cash flow</t>
  </si>
  <si>
    <t xml:space="preserve">Portfolio open</t>
  </si>
  <si>
    <t xml:space="preserve">Investment return</t>
  </si>
  <si>
    <t xml:space="preserve">Annuity purchase</t>
  </si>
  <si>
    <t xml:space="preserve">Portfolio close</t>
  </si>
  <si>
    <t xml:space="preserve">OUTPUTS — the only numbers that go in the proposal</t>
  </si>
  <si>
    <t xml:space="preserve">Green = pulled from another tab. Quote these, not your own arithmetic.</t>
  </si>
  <si>
    <t xml:space="preserve">POSITION TODAY</t>
  </si>
  <si>
    <t xml:space="preserve">Net worth</t>
  </si>
  <si>
    <t xml:space="preserve">Parents' investable pool</t>
  </si>
  <si>
    <t xml:space="preserve">Annual surplus (after tax, MPF, premiums)</t>
  </si>
  <si>
    <t xml:space="preserve">Emergency reserve, months</t>
  </si>
  <si>
    <t xml:space="preserve">TAX</t>
  </si>
  <si>
    <t xml:space="preserve">Couple — separate assessment</t>
  </si>
  <si>
    <t xml:space="preserve">Couple — joint assessment</t>
  </si>
  <si>
    <t xml:space="preserve">Saving from separate</t>
  </si>
  <si>
    <t xml:space="preserve">PROJECTION</t>
  </si>
  <si>
    <t xml:space="preserve">Portfolio at Adrian's retirement (2037, nominal)</t>
  </si>
  <si>
    <t xml:space="preserve">Portfolio at Carmen 89 (2066)</t>
  </si>
  <si>
    <t xml:space="preserve">Portfolio at Carmen 95 (2072)</t>
  </si>
  <si>
    <t xml:space="preserve">Portfolio at 2037 in TODAY money</t>
  </si>
  <si>
    <t xml:space="preserve">Retirement need at 2037 (today money)</t>
  </si>
  <si>
    <t xml:space="preserve">Funded ratio</t>
  </si>
  <si>
    <t xml:space="preserve">Total education cost (nominal)</t>
  </si>
  <si>
    <t xml:space="preserve">Money lasts to 89? (deterministic)</t>
  </si>
  <si>
    <t xml:space="preserve">Money lasts to 95? (deterministic)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</si>
</sst>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"/>
    <numFmt numFmtId="167" formatCode="0"/>
    <numFmt numFmtId="168" formatCode="0.0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 t="s">
        <v>3</v>
      </c>
      <c r="B5" s="6" t="n">
        <v>0.025</v>
      </c>
      <c r="D5" s="7" t="s">
        <v>4</v>
      </c>
    </row>
    <row r="6" customFormat="false" ht="15" hidden="false" customHeight="false" outlineLevel="0" collapsed="false">
      <c r="A6" s="5" t="s">
        <v>5</v>
      </c>
      <c r="B6" s="6" t="n">
        <v>0.03</v>
      </c>
      <c r="D6" s="7" t="s">
        <v>6</v>
      </c>
    </row>
    <row r="7" customFormat="false" ht="15" hidden="false" customHeight="false" outlineLevel="0" collapsed="false">
      <c r="A7" s="5" t="s">
        <v>7</v>
      </c>
      <c r="B7" s="6" t="n">
        <v>0.03</v>
      </c>
      <c r="D7" s="7" t="s">
        <v>6</v>
      </c>
    </row>
    <row r="8" customFormat="false" ht="15" hidden="false" customHeight="false" outlineLevel="0" collapsed="false">
      <c r="A8" s="5" t="s">
        <v>8</v>
      </c>
      <c r="B8" s="6" t="n">
        <v>0.05</v>
      </c>
      <c r="D8" s="7" t="s">
        <v>6</v>
      </c>
    </row>
    <row r="9" customFormat="false" ht="15" hidden="false" customHeight="false" outlineLevel="0" collapsed="false">
      <c r="A9" s="3" t="s">
        <v>9</v>
      </c>
      <c r="B9" s="4"/>
      <c r="C9" s="4"/>
      <c r="D9" s="4"/>
    </row>
    <row r="10" customFormat="false" ht="15" hidden="false" customHeight="false" outlineLevel="0" collapsed="false">
      <c r="A10" s="5" t="s">
        <v>10</v>
      </c>
      <c r="B10" s="6" t="n">
        <v>0.06</v>
      </c>
      <c r="D10" s="7" t="s">
        <v>11</v>
      </c>
    </row>
    <row r="11" customFormat="false" ht="15" hidden="false" customHeight="false" outlineLevel="0" collapsed="false">
      <c r="A11" s="5" t="s">
        <v>12</v>
      </c>
      <c r="B11" s="6" t="n">
        <v>0.17</v>
      </c>
      <c r="D11" s="7" t="s">
        <v>13</v>
      </c>
    </row>
    <row r="12" customFormat="false" ht="15" hidden="false" customHeight="false" outlineLevel="0" collapsed="false">
      <c r="A12" s="5" t="s">
        <v>14</v>
      </c>
      <c r="B12" s="6" t="n">
        <v>0.04</v>
      </c>
      <c r="D12" s="7" t="s">
        <v>6</v>
      </c>
    </row>
    <row r="13" customFormat="false" ht="15" hidden="false" customHeight="false" outlineLevel="0" collapsed="false">
      <c r="A13" s="5" t="s">
        <v>15</v>
      </c>
      <c r="B13" s="6" t="n">
        <v>0.04</v>
      </c>
      <c r="D13" s="7" t="s">
        <v>16</v>
      </c>
    </row>
    <row r="14" customFormat="false" ht="15" hidden="false" customHeight="false" outlineLevel="0" collapsed="false">
      <c r="A14" s="5" t="s">
        <v>17</v>
      </c>
      <c r="B14" s="6" t="n">
        <v>0.05</v>
      </c>
      <c r="D14" s="7" t="s">
        <v>6</v>
      </c>
    </row>
    <row r="15" customFormat="false" ht="15" hidden="false" customHeight="false" outlineLevel="0" collapsed="false">
      <c r="A15" s="5" t="s">
        <v>18</v>
      </c>
      <c r="B15" s="6" t="n">
        <v>0.028</v>
      </c>
      <c r="D15" s="7" t="s">
        <v>19</v>
      </c>
    </row>
    <row r="16" customFormat="false" ht="15" hidden="false" customHeight="false" outlineLevel="0" collapsed="false">
      <c r="A16" s="5" t="s">
        <v>20</v>
      </c>
      <c r="B16" s="6" t="n">
        <v>0.002</v>
      </c>
      <c r="D16" s="7" t="s">
        <v>6</v>
      </c>
    </row>
    <row r="17" customFormat="false" ht="15" hidden="false" customHeight="false" outlineLevel="0" collapsed="false">
      <c r="A17" s="3" t="s">
        <v>21</v>
      </c>
      <c r="B17" s="4"/>
      <c r="C17" s="4"/>
      <c r="D17" s="4"/>
    </row>
    <row r="18" customFormat="false" ht="15" hidden="false" customHeight="false" outlineLevel="0" collapsed="false">
      <c r="A18" s="5" t="s">
        <v>22</v>
      </c>
      <c r="B18" s="8" t="n">
        <v>145000</v>
      </c>
      <c r="D18" s="7" t="s">
        <v>23</v>
      </c>
    </row>
    <row r="19" customFormat="false" ht="15" hidden="false" customHeight="false" outlineLevel="0" collapsed="false">
      <c r="A19" s="5" t="s">
        <v>24</v>
      </c>
      <c r="B19" s="8" t="n">
        <v>290000</v>
      </c>
      <c r="D19" s="7" t="s">
        <v>23</v>
      </c>
    </row>
    <row r="20" customFormat="false" ht="15" hidden="false" customHeight="false" outlineLevel="0" collapsed="false">
      <c r="A20" s="5" t="s">
        <v>25</v>
      </c>
      <c r="B20" s="8" t="n">
        <v>140000</v>
      </c>
      <c r="D20" s="7" t="s">
        <v>23</v>
      </c>
    </row>
    <row r="21" customFormat="false" ht="15" hidden="false" customHeight="false" outlineLevel="0" collapsed="false">
      <c r="A21" s="5" t="s">
        <v>26</v>
      </c>
      <c r="B21" s="8" t="n">
        <v>55000</v>
      </c>
      <c r="D21" s="7" t="s">
        <v>27</v>
      </c>
    </row>
    <row r="22" customFormat="false" ht="15" hidden="false" customHeight="false" outlineLevel="0" collapsed="false">
      <c r="A22" s="5" t="s">
        <v>28</v>
      </c>
      <c r="B22" s="8" t="n">
        <v>18000</v>
      </c>
      <c r="D22" s="7" t="s">
        <v>29</v>
      </c>
    </row>
    <row r="23" customFormat="false" ht="15" hidden="false" customHeight="false" outlineLevel="0" collapsed="false">
      <c r="A23" s="5" t="s">
        <v>30</v>
      </c>
      <c r="B23" s="6" t="n">
        <v>0.17</v>
      </c>
      <c r="D23" s="7" t="s">
        <v>31</v>
      </c>
    </row>
    <row r="24" customFormat="false" ht="15" hidden="false" customHeight="false" outlineLevel="0" collapsed="false">
      <c r="A24" s="5" t="s">
        <v>32</v>
      </c>
      <c r="B24" s="8" t="n">
        <v>16000</v>
      </c>
      <c r="D24" s="7" t="s">
        <v>33</v>
      </c>
    </row>
    <row r="25" customFormat="false" ht="15" hidden="false" customHeight="false" outlineLevel="0" collapsed="false">
      <c r="A25" s="5" t="s">
        <v>34</v>
      </c>
      <c r="B25" s="6" t="n">
        <v>0.035</v>
      </c>
      <c r="D25" s="7" t="s">
        <v>6</v>
      </c>
    </row>
    <row r="26" customFormat="false" ht="15" hidden="false" customHeight="false" outlineLevel="0" collapsed="false">
      <c r="A26" s="3" t="s">
        <v>35</v>
      </c>
      <c r="B26" s="4"/>
      <c r="C26" s="4"/>
      <c r="D26" s="4"/>
    </row>
    <row r="27" customFormat="false" ht="15" hidden="false" customHeight="false" outlineLevel="0" collapsed="false">
      <c r="A27" s="5" t="s">
        <v>36</v>
      </c>
      <c r="B27" s="8" t="n">
        <v>1050000</v>
      </c>
      <c r="D27" s="7" t="s">
        <v>37</v>
      </c>
    </row>
    <row r="28" customFormat="false" ht="15" hidden="false" customHeight="false" outlineLevel="0" collapsed="false">
      <c r="A28" s="5" t="s">
        <v>38</v>
      </c>
      <c r="B28" s="8" t="n">
        <v>150000</v>
      </c>
      <c r="D28" s="7" t="s">
        <v>39</v>
      </c>
    </row>
    <row r="29" customFormat="false" ht="15" hidden="false" customHeight="false" outlineLevel="0" collapsed="false">
      <c r="A29" s="5" t="s">
        <v>40</v>
      </c>
      <c r="B29" s="8" t="n">
        <v>720000</v>
      </c>
      <c r="D29" s="7" t="s">
        <v>41</v>
      </c>
    </row>
    <row r="30" customFormat="false" ht="15" hidden="false" customHeight="false" outlineLevel="0" collapsed="false">
      <c r="A30" s="5" t="s">
        <v>42</v>
      </c>
      <c r="B30" s="8" t="n">
        <v>300000</v>
      </c>
      <c r="D30" s="7" t="s">
        <v>43</v>
      </c>
    </row>
    <row r="31" customFormat="false" ht="15" hidden="false" customHeight="false" outlineLevel="0" collapsed="false">
      <c r="A31" s="5" t="s">
        <v>44</v>
      </c>
      <c r="B31" s="8" t="n">
        <v>984000</v>
      </c>
      <c r="D31" s="7" t="s">
        <v>45</v>
      </c>
    </row>
    <row r="32" customFormat="false" ht="15" hidden="false" customHeight="false" outlineLevel="0" collapsed="false">
      <c r="A32" s="5" t="s">
        <v>46</v>
      </c>
      <c r="B32" s="8" t="n">
        <v>780000</v>
      </c>
      <c r="D32" s="7" t="s">
        <v>37</v>
      </c>
    </row>
    <row r="33" customFormat="false" ht="15" hidden="false" customHeight="false" outlineLevel="0" collapsed="false">
      <c r="A33" s="5" t="s">
        <v>47</v>
      </c>
      <c r="B33" s="6" t="n">
        <v>0.4</v>
      </c>
      <c r="D33" s="7" t="s">
        <v>48</v>
      </c>
    </row>
    <row r="34" customFormat="false" ht="15" hidden="false" customHeight="false" outlineLevel="0" collapsed="false">
      <c r="A34" s="3" t="s">
        <v>49</v>
      </c>
      <c r="B34" s="4"/>
      <c r="C34" s="4"/>
      <c r="D34" s="4"/>
    </row>
    <row r="35" customFormat="false" ht="15" hidden="false" customHeight="false" outlineLevel="0" collapsed="false">
      <c r="A35" s="5" t="s">
        <v>50</v>
      </c>
      <c r="B35" s="6" t="n">
        <v>0.048</v>
      </c>
      <c r="D35" s="7" t="s">
        <v>51</v>
      </c>
    </row>
    <row r="36" customFormat="false" ht="15" hidden="false" customHeight="false" outlineLevel="0" collapsed="false">
      <c r="A36" s="5" t="s">
        <v>52</v>
      </c>
      <c r="B36" s="6" t="n">
        <v>0.042</v>
      </c>
      <c r="D36" s="7" t="s">
        <v>53</v>
      </c>
    </row>
    <row r="37" customFormat="false" ht="15" hidden="false" customHeight="false" outlineLevel="0" collapsed="false">
      <c r="A37" s="5" t="s">
        <v>54</v>
      </c>
      <c r="B37" s="9" t="n">
        <v>12</v>
      </c>
      <c r="D37" s="7" t="s">
        <v>55</v>
      </c>
    </row>
    <row r="38" customFormat="false" ht="15" hidden="false" customHeight="false" outlineLevel="0" collapsed="false">
      <c r="A38" s="5" t="s">
        <v>56</v>
      </c>
      <c r="B38" s="8" t="n">
        <v>4120000</v>
      </c>
      <c r="D38" s="7" t="s">
        <v>57</v>
      </c>
    </row>
    <row r="39" customFormat="false" ht="15" hidden="false" customHeight="false" outlineLevel="0" collapsed="false">
      <c r="A39" s="5" t="s">
        <v>58</v>
      </c>
      <c r="B39" s="8" t="n">
        <v>268000</v>
      </c>
      <c r="D39" s="7" t="s">
        <v>59</v>
      </c>
    </row>
    <row r="40" customFormat="false" ht="15" hidden="false" customHeight="false" outlineLevel="0" collapsed="false">
      <c r="A40" s="5" t="s">
        <v>60</v>
      </c>
      <c r="B40" s="8" t="n">
        <v>600000</v>
      </c>
      <c r="D40" s="7" t="s">
        <v>61</v>
      </c>
    </row>
    <row r="41" customFormat="false" ht="15" hidden="false" customHeight="false" outlineLevel="0" collapsed="false">
      <c r="A41" s="5" t="s">
        <v>62</v>
      </c>
      <c r="B41" s="9" t="n">
        <v>4</v>
      </c>
      <c r="D41" s="7" t="s">
        <v>63</v>
      </c>
    </row>
    <row r="42" customFormat="false" ht="15" hidden="false" customHeight="false" outlineLevel="0" collapsed="false">
      <c r="A42" s="5" t="s">
        <v>64</v>
      </c>
      <c r="B42" s="8" t="n">
        <v>0</v>
      </c>
      <c r="D42" s="7" t="s">
        <v>65</v>
      </c>
    </row>
    <row r="43" customFormat="false" ht="15" hidden="false" customHeight="false" outlineLevel="0" collapsed="false">
      <c r="A43" s="3" t="s">
        <v>66</v>
      </c>
      <c r="B43" s="4"/>
      <c r="C43" s="4"/>
      <c r="D43" s="4"/>
    </row>
    <row r="44" customFormat="false" ht="15" hidden="false" customHeight="false" outlineLevel="0" collapsed="false">
      <c r="A44" s="5" t="s">
        <v>67</v>
      </c>
      <c r="B44" s="9" t="n">
        <v>2026</v>
      </c>
      <c r="D44" s="7" t="s">
        <v>68</v>
      </c>
    </row>
    <row r="45" customFormat="false" ht="15" hidden="false" customHeight="false" outlineLevel="0" collapsed="false">
      <c r="A45" s="5" t="s">
        <v>69</v>
      </c>
      <c r="B45" s="9" t="n">
        <v>2037</v>
      </c>
      <c r="D45" s="7" t="s">
        <v>37</v>
      </c>
    </row>
    <row r="46" customFormat="false" ht="15" hidden="false" customHeight="false" outlineLevel="0" collapsed="false">
      <c r="A46" s="5" t="s">
        <v>70</v>
      </c>
      <c r="B46" s="9" t="n">
        <v>2039</v>
      </c>
      <c r="D46" s="7" t="s">
        <v>37</v>
      </c>
    </row>
    <row r="47" customFormat="false" ht="15" hidden="false" customHeight="false" outlineLevel="0" collapsed="false">
      <c r="A47" s="5" t="s">
        <v>71</v>
      </c>
      <c r="B47" s="9" t="n">
        <v>2028</v>
      </c>
      <c r="D47" s="7" t="s">
        <v>72</v>
      </c>
    </row>
    <row r="48" customFormat="false" ht="15" hidden="false" customHeight="false" outlineLevel="0" collapsed="false">
      <c r="A48" s="5" t="s">
        <v>73</v>
      </c>
      <c r="B48" s="9" t="n">
        <v>2066</v>
      </c>
      <c r="D48" s="7" t="s">
        <v>74</v>
      </c>
    </row>
    <row r="49" customFormat="false" ht="15" hidden="false" customHeight="false" outlineLevel="0" collapsed="false">
      <c r="A49" s="5" t="s">
        <v>75</v>
      </c>
      <c r="B49" s="9" t="n">
        <v>2072</v>
      </c>
      <c r="D49" s="7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</cols>
  <sheetData>
    <row r="1" customFormat="false" ht="16.15" hidden="false" customHeight="false" outlineLevel="0" collapsed="false">
      <c r="A1" s="1" t="s">
        <v>77</v>
      </c>
    </row>
    <row r="3" customFormat="false" ht="15" hidden="false" customHeight="false" outlineLevel="0" collapsed="false">
      <c r="A3" s="3" t="s">
        <v>78</v>
      </c>
      <c r="B3" s="4"/>
    </row>
    <row r="4" customFormat="false" ht="15" hidden="false" customHeight="false" outlineLevel="0" collapsed="false">
      <c r="A4" s="5" t="s">
        <v>79</v>
      </c>
      <c r="B4" s="8" t="n">
        <v>620000</v>
      </c>
    </row>
    <row r="5" customFormat="false" ht="15" hidden="false" customHeight="false" outlineLevel="0" collapsed="false">
      <c r="A5" s="5" t="s">
        <v>80</v>
      </c>
      <c r="B5" s="8" t="n">
        <v>1480000</v>
      </c>
    </row>
    <row r="6" customFormat="false" ht="15" hidden="false" customHeight="false" outlineLevel="0" collapsed="false">
      <c r="A6" s="5" t="s">
        <v>81</v>
      </c>
      <c r="B6" s="8" t="n">
        <v>400000</v>
      </c>
    </row>
    <row r="7" customFormat="false" ht="15" hidden="false" customHeight="false" outlineLevel="0" collapsed="false">
      <c r="A7" s="10" t="s">
        <v>82</v>
      </c>
      <c r="B7" s="11" t="n">
        <f aca="false">SUM(B4:B6)</f>
        <v>2500000</v>
      </c>
    </row>
    <row r="8" customFormat="false" ht="15" hidden="false" customHeight="false" outlineLevel="0" collapsed="false">
      <c r="A8" s="3" t="s">
        <v>83</v>
      </c>
      <c r="B8" s="4"/>
    </row>
    <row r="9" customFormat="false" ht="15" hidden="false" customHeight="false" outlineLevel="0" collapsed="false">
      <c r="A9" s="5" t="s">
        <v>84</v>
      </c>
      <c r="B9" s="8" t="n">
        <v>1000000</v>
      </c>
    </row>
    <row r="10" customFormat="false" ht="15" hidden="false" customHeight="false" outlineLevel="0" collapsed="false">
      <c r="A10" s="5" t="s">
        <v>85</v>
      </c>
      <c r="B10" s="8" t="n">
        <v>1350000</v>
      </c>
    </row>
    <row r="11" customFormat="false" ht="15" hidden="false" customHeight="false" outlineLevel="0" collapsed="false">
      <c r="A11" s="5" t="s">
        <v>86</v>
      </c>
      <c r="B11" s="8" t="n">
        <v>900000</v>
      </c>
    </row>
    <row r="12" customFormat="false" ht="15" hidden="false" customHeight="false" outlineLevel="0" collapsed="false">
      <c r="A12" s="5" t="s">
        <v>87</v>
      </c>
      <c r="B12" s="8" t="n">
        <v>700000</v>
      </c>
    </row>
    <row r="13" customFormat="false" ht="15" hidden="false" customHeight="false" outlineLevel="0" collapsed="false">
      <c r="A13" s="5" t="s">
        <v>88</v>
      </c>
      <c r="B13" s="8" t="n">
        <v>450000</v>
      </c>
    </row>
    <row r="14" customFormat="false" ht="15" hidden="false" customHeight="false" outlineLevel="0" collapsed="false">
      <c r="A14" s="5" t="s">
        <v>89</v>
      </c>
      <c r="B14" s="8" t="n">
        <v>800000</v>
      </c>
    </row>
    <row r="15" customFormat="false" ht="15" hidden="false" customHeight="false" outlineLevel="0" collapsed="false">
      <c r="A15" s="5" t="s">
        <v>90</v>
      </c>
      <c r="B15" s="8" t="n">
        <v>1050000</v>
      </c>
    </row>
    <row r="16" customFormat="false" ht="15" hidden="false" customHeight="false" outlineLevel="0" collapsed="false">
      <c r="A16" s="5" t="s">
        <v>91</v>
      </c>
      <c r="B16" s="8" t="n">
        <v>620000</v>
      </c>
    </row>
    <row r="17" customFormat="false" ht="15" hidden="false" customHeight="false" outlineLevel="0" collapsed="false">
      <c r="A17" s="5" t="s">
        <v>92</v>
      </c>
      <c r="B17" s="8" t="n">
        <v>180000</v>
      </c>
    </row>
    <row r="18" customFormat="false" ht="15" hidden="false" customHeight="false" outlineLevel="0" collapsed="false">
      <c r="A18" s="5" t="s">
        <v>93</v>
      </c>
      <c r="B18" s="8" t="n">
        <v>500000</v>
      </c>
    </row>
    <row r="19" customFormat="false" ht="15" hidden="false" customHeight="false" outlineLevel="0" collapsed="false">
      <c r="A19" s="5" t="s">
        <v>94</v>
      </c>
      <c r="B19" s="8" t="n">
        <v>420000</v>
      </c>
    </row>
    <row r="20" customFormat="false" ht="15" hidden="false" customHeight="false" outlineLevel="0" collapsed="false">
      <c r="A20" s="10" t="s">
        <v>95</v>
      </c>
      <c r="B20" s="11" t="n">
        <f aca="false">SUM(B9:B19)</f>
        <v>7970000</v>
      </c>
    </row>
    <row r="21" customFormat="false" ht="15" hidden="false" customHeight="false" outlineLevel="0" collapsed="false">
      <c r="A21" s="3" t="s">
        <v>96</v>
      </c>
      <c r="B21" s="4"/>
    </row>
    <row r="22" customFormat="false" ht="15" hidden="false" customHeight="false" outlineLevel="0" collapsed="false">
      <c r="A22" s="5" t="s">
        <v>97</v>
      </c>
      <c r="B22" s="8" t="n">
        <v>11500000</v>
      </c>
    </row>
    <row r="23" customFormat="false" ht="15" hidden="false" customHeight="false" outlineLevel="0" collapsed="false">
      <c r="A23" s="5" t="s">
        <v>98</v>
      </c>
      <c r="B23" s="8" t="n">
        <v>5000000</v>
      </c>
    </row>
    <row r="24" customFormat="false" ht="15" hidden="false" customHeight="false" outlineLevel="0" collapsed="false">
      <c r="A24" s="5" t="s">
        <v>99</v>
      </c>
      <c r="B24" s="8" t="n">
        <v>220000</v>
      </c>
    </row>
    <row r="25" customFormat="false" ht="15" hidden="false" customHeight="false" outlineLevel="0" collapsed="false">
      <c r="A25" s="10" t="s">
        <v>100</v>
      </c>
      <c r="B25" s="11" t="n">
        <f aca="false">SUM(B22:B24)</f>
        <v>16720000</v>
      </c>
    </row>
    <row r="26" customFormat="false" ht="15" hidden="false" customHeight="false" outlineLevel="0" collapsed="false">
      <c r="A26" s="3" t="s">
        <v>101</v>
      </c>
      <c r="B26" s="4"/>
    </row>
    <row r="27" customFormat="false" ht="15" hidden="false" customHeight="false" outlineLevel="0" collapsed="false">
      <c r="A27" s="5" t="s">
        <v>102</v>
      </c>
      <c r="B27" s="8" t="n">
        <v>1800000</v>
      </c>
    </row>
    <row r="28" customFormat="false" ht="15" hidden="false" customHeight="false" outlineLevel="0" collapsed="false">
      <c r="A28" s="5" t="s">
        <v>103</v>
      </c>
      <c r="B28" s="8" t="n">
        <v>900000</v>
      </c>
    </row>
    <row r="29" customFormat="false" ht="15" hidden="false" customHeight="false" outlineLevel="0" collapsed="false">
      <c r="A29" s="5" t="s">
        <v>104</v>
      </c>
      <c r="B29" s="8" t="n">
        <v>85000</v>
      </c>
    </row>
    <row r="30" customFormat="false" ht="15" hidden="false" customHeight="false" outlineLevel="0" collapsed="false">
      <c r="A30" s="10" t="s">
        <v>105</v>
      </c>
      <c r="B30" s="11" t="n">
        <f aca="false">SUM(B27:B29)</f>
        <v>2785000</v>
      </c>
    </row>
    <row r="32" customFormat="false" ht="15" hidden="false" customHeight="false" outlineLevel="0" collapsed="false">
      <c r="A32" s="10" t="s">
        <v>106</v>
      </c>
      <c r="B32" s="12" t="n">
        <f aca="false">B7+B20+B25</f>
        <v>27190000</v>
      </c>
    </row>
    <row r="33" customFormat="false" ht="15" hidden="false" customHeight="false" outlineLevel="0" collapsed="false">
      <c r="A33" s="10" t="s">
        <v>107</v>
      </c>
      <c r="B33" s="12" t="n">
        <f aca="false">B32-B30</f>
        <v>24405000</v>
      </c>
    </row>
    <row r="35" customFormat="false" ht="15" hidden="false" customHeight="false" outlineLevel="0" collapsed="false">
      <c r="A35" s="10" t="s">
        <v>108</v>
      </c>
      <c r="B35" s="13" t="n">
        <f aca="false">B33-24405000</f>
        <v>0</v>
      </c>
    </row>
    <row r="37" customFormat="false" ht="15" hidden="false" customHeight="false" outlineLevel="0" collapsed="false">
      <c r="A37" s="10" t="s">
        <v>109</v>
      </c>
      <c r="B37" s="12" t="n">
        <f aca="false">B7+B20-B17-B18</f>
        <v>9790000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0" t="s">
        <v>112</v>
      </c>
      <c r="B4" s="14" t="n">
        <f aca="false">BalanceSheet!B27*Inputs!$B$25</f>
        <v>63000</v>
      </c>
    </row>
    <row r="6" customFormat="false" ht="15" hidden="false" customHeight="false" outlineLevel="0" collapsed="false">
      <c r="A6" s="15"/>
      <c r="B6" s="15" t="s">
        <v>113</v>
      </c>
      <c r="C6" s="15" t="s">
        <v>114</v>
      </c>
      <c r="D6" s="15" t="s">
        <v>115</v>
      </c>
      <c r="E6" s="15" t="s">
        <v>116</v>
      </c>
    </row>
    <row r="7" customFormat="false" ht="15" hidden="false" customHeight="false" outlineLevel="0" collapsed="false">
      <c r="A7" s="5" t="s">
        <v>117</v>
      </c>
      <c r="B7" s="16" t="n">
        <f aca="false">Inputs!$B$27+Inputs!$B$28</f>
        <v>1200000</v>
      </c>
      <c r="C7" s="16" t="n">
        <f aca="false">Inputs!$B$29</f>
        <v>720000</v>
      </c>
      <c r="D7" s="16" t="n">
        <f aca="false">B7+C7</f>
        <v>1920000</v>
      </c>
      <c r="E7" s="16" t="n">
        <f aca="false">Inputs!$B$30</f>
        <v>300000</v>
      </c>
    </row>
    <row r="8" customFormat="false" ht="15" hidden="false" customHeight="false" outlineLevel="0" collapsed="false">
      <c r="A8" s="5" t="s">
        <v>118</v>
      </c>
      <c r="B8" s="16" t="n">
        <f aca="false">-Inputs!$B$22</f>
        <v>-18000</v>
      </c>
      <c r="C8" s="16" t="n">
        <f aca="false">-Inputs!$B$22</f>
        <v>-18000</v>
      </c>
      <c r="D8" s="16" t="n">
        <f aca="false">B8+C8</f>
        <v>-36000</v>
      </c>
      <c r="E8" s="16" t="n">
        <f aca="false">-MIN(Inputs!$B$22,E7*0.05)</f>
        <v>-15000</v>
      </c>
    </row>
    <row r="9" customFormat="false" ht="15" hidden="false" customHeight="false" outlineLevel="0" collapsed="false">
      <c r="A9" s="5" t="s">
        <v>119</v>
      </c>
      <c r="B9" s="16" t="n">
        <f aca="false">-$B$4/2</f>
        <v>-31500</v>
      </c>
      <c r="C9" s="16" t="n">
        <f aca="false">-$B$4/2</f>
        <v>-31500</v>
      </c>
      <c r="D9" s="16" t="n">
        <f aca="false">B9+C9</f>
        <v>-63000</v>
      </c>
      <c r="E9" s="16" t="n">
        <v>0</v>
      </c>
    </row>
    <row r="10" customFormat="false" ht="15" hidden="false" customHeight="false" outlineLevel="0" collapsed="false">
      <c r="A10" s="5" t="s">
        <v>120</v>
      </c>
      <c r="B10" s="16" t="n">
        <f aca="false">SUM(B7:B9)</f>
        <v>1150500</v>
      </c>
      <c r="C10" s="16" t="n">
        <f aca="false">SUM(C7:C9)</f>
        <v>670500</v>
      </c>
      <c r="D10" s="16" t="n">
        <f aca="false">SUM(D7:D9)</f>
        <v>1821000</v>
      </c>
      <c r="E10" s="16" t="n">
        <f aca="false">SUM(E7:E9)</f>
        <v>285000</v>
      </c>
    </row>
    <row r="11" customFormat="false" ht="15" hidden="false" customHeight="false" outlineLevel="0" collapsed="false">
      <c r="A11" s="5" t="s">
        <v>121</v>
      </c>
      <c r="B11" s="16" t="n">
        <f aca="false">-(Inputs!$B$18+Inputs!$B$20+2*Inputs!$B$21)</f>
        <v>-395000</v>
      </c>
      <c r="C11" s="16" t="n">
        <f aca="false">-Inputs!$B$18</f>
        <v>-145000</v>
      </c>
      <c r="D11" s="16" t="n">
        <f aca="false">-(Inputs!$B$19+Inputs!$B$20+2*Inputs!$B$21)</f>
        <v>-540000</v>
      </c>
      <c r="E11" s="16" t="n">
        <f aca="false">-Inputs!$B$18</f>
        <v>-145000</v>
      </c>
    </row>
    <row r="12" customFormat="false" ht="15" hidden="false" customHeight="false" outlineLevel="0" collapsed="false">
      <c r="A12" s="5" t="s">
        <v>122</v>
      </c>
      <c r="B12" s="16" t="n">
        <f aca="false">MAX(B10+B11,0)</f>
        <v>755500</v>
      </c>
      <c r="C12" s="16" t="n">
        <f aca="false">MAX(C10+C11,0)</f>
        <v>525500</v>
      </c>
      <c r="D12" s="16" t="n">
        <f aca="false">MAX(D10+D11,0)</f>
        <v>1281000</v>
      </c>
      <c r="E12" s="16" t="n">
        <f aca="false">MAX(E10+E11,0)</f>
        <v>140000</v>
      </c>
    </row>
    <row r="13" customFormat="false" ht="15" hidden="false" customHeight="false" outlineLevel="0" collapsed="false">
      <c r="A13" s="5" t="s">
        <v>123</v>
      </c>
      <c r="B13" s="11" t="n">
        <f aca="false">IF(B12&gt;200000,Inputs!$B$24+(B12-200000)*Inputs!$B$23,IF(B12&gt;150000,9000+(B12-150000)*0.14,IF(B12&gt;100000,4000+(B12-100000)*0.1,IF(B12&gt;50000,1000+(B12-50000)*0.06,B12*0.02))))</f>
        <v>110435</v>
      </c>
      <c r="C13" s="11" t="n">
        <f aca="false">IF(C12&gt;200000,Inputs!$B$24+(C12-200000)*Inputs!$B$23,IF(C12&gt;150000,9000+(C12-150000)*0.14,IF(C12&gt;100000,4000+(C12-100000)*0.1,IF(C12&gt;50000,1000+(C12-50000)*0.06,C12*0.02))))</f>
        <v>71335</v>
      </c>
      <c r="D13" s="11" t="n">
        <f aca="false">IF(D12&gt;200000,Inputs!$B$24+(D12-200000)*Inputs!$B$23,IF(D12&gt;150000,9000+(D12-150000)*0.14,IF(D12&gt;100000,4000+(D12-100000)*0.1,IF(D12&gt;50000,1000+(D12-50000)*0.06,D12*0.02))))</f>
        <v>199770</v>
      </c>
      <c r="E13" s="11" t="n">
        <f aca="false">IF(E12&gt;200000,Inputs!$B$24+(E12-200000)*Inputs!$B$23,IF(E12&gt;150000,9000+(E12-150000)*0.14,IF(E12&gt;100000,4000+(E12-100000)*0.1,IF(E12&gt;50000,1000+(E12-50000)*0.06,E12*0.02))))</f>
        <v>8000</v>
      </c>
    </row>
    <row r="15" customFormat="false" ht="15" hidden="false" customHeight="false" outlineLevel="0" collapsed="false">
      <c r="A15" s="0" t="s">
        <v>124</v>
      </c>
      <c r="B15" s="17" t="n">
        <f aca="false">B13+C13</f>
        <v>181770</v>
      </c>
    </row>
    <row r="16" customFormat="false" ht="15" hidden="false" customHeight="false" outlineLevel="0" collapsed="false">
      <c r="A16" s="0" t="s">
        <v>125</v>
      </c>
      <c r="B16" s="12" t="n">
        <f aca="false">D13</f>
        <v>199770</v>
      </c>
    </row>
    <row r="17" customFormat="false" ht="15" hidden="false" customHeight="false" outlineLevel="0" collapsed="false">
      <c r="A17" s="0" t="s">
        <v>126</v>
      </c>
      <c r="B17" s="12" t="n">
        <f aca="false">B16-B15</f>
        <v>18000</v>
      </c>
    </row>
    <row r="19" customFormat="false" ht="15" hidden="false" customHeight="false" outlineLevel="0" collapsed="false">
      <c r="A19" s="0" t="s">
        <v>127</v>
      </c>
      <c r="B19" s="13" t="n">
        <f aca="false">B15-181770</f>
        <v>0</v>
      </c>
    </row>
    <row r="20" customFormat="false" ht="15" hidden="false" customHeight="false" outlineLevel="0" collapsed="false">
      <c r="A20" s="0" t="s">
        <v>128</v>
      </c>
      <c r="B20" s="13" t="n">
        <f aca="false">B16-199770</f>
        <v>0</v>
      </c>
    </row>
    <row r="22" customFormat="false" ht="15" hidden="false" customHeight="false" outlineLevel="0" collapsed="false">
      <c r="A22" s="10" t="s">
        <v>129</v>
      </c>
    </row>
    <row r="23" customFormat="false" ht="15" hidden="false" customHeight="false" outlineLevel="0" collapsed="false">
      <c r="A23" s="5" t="s">
        <v>130</v>
      </c>
      <c r="B23" s="14" t="n">
        <f aca="false">D7</f>
        <v>1920000</v>
      </c>
    </row>
    <row r="24" customFormat="false" ht="15" hidden="false" customHeight="false" outlineLevel="0" collapsed="false">
      <c r="A24" s="5" t="s">
        <v>131</v>
      </c>
      <c r="B24" s="14" t="n">
        <f aca="false">-B15</f>
        <v>-181770</v>
      </c>
    </row>
    <row r="25" customFormat="false" ht="15" hidden="false" customHeight="false" outlineLevel="0" collapsed="false">
      <c r="A25" s="5" t="s">
        <v>118</v>
      </c>
      <c r="B25" s="14" t="n">
        <f aca="false">D8</f>
        <v>-36000</v>
      </c>
    </row>
    <row r="26" customFormat="false" ht="15" hidden="false" customHeight="false" outlineLevel="0" collapsed="false">
      <c r="A26" s="5" t="s">
        <v>132</v>
      </c>
      <c r="B26" s="14" t="n">
        <f aca="false">-Inputs!$B$31</f>
        <v>-984000</v>
      </c>
    </row>
    <row r="27" customFormat="false" ht="15" hidden="false" customHeight="false" outlineLevel="0" collapsed="false">
      <c r="A27" s="5" t="s">
        <v>133</v>
      </c>
      <c r="B27" s="17" t="n">
        <f aca="false">SUM(B23:B26)</f>
        <v>718230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7"/>
    <col collapsed="false" customWidth="true" hidden="false" outlineLevel="0" max="19" min="4" style="0" width="13"/>
  </cols>
  <sheetData>
    <row r="1" customFormat="false" ht="16.1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3" customFormat="false" ht="23.85" hidden="false" customHeight="false" outlineLevel="0" collapsed="false">
      <c r="A3" s="18" t="s">
        <v>136</v>
      </c>
      <c r="B3" s="18" t="s">
        <v>137</v>
      </c>
      <c r="C3" s="18" t="s">
        <v>138</v>
      </c>
      <c r="D3" s="18" t="s">
        <v>139</v>
      </c>
      <c r="E3" s="18" t="s">
        <v>140</v>
      </c>
      <c r="F3" s="18" t="s">
        <v>141</v>
      </c>
      <c r="G3" s="18" t="s">
        <v>142</v>
      </c>
      <c r="H3" s="18" t="s">
        <v>143</v>
      </c>
      <c r="I3" s="18" t="s">
        <v>144</v>
      </c>
      <c r="J3" s="18" t="s">
        <v>17</v>
      </c>
      <c r="K3" s="18" t="s">
        <v>145</v>
      </c>
      <c r="L3" s="18" t="s">
        <v>146</v>
      </c>
      <c r="M3" s="18" t="s">
        <v>147</v>
      </c>
      <c r="N3" s="18" t="s">
        <v>148</v>
      </c>
      <c r="O3" s="18" t="s">
        <v>149</v>
      </c>
      <c r="P3" s="18" t="s">
        <v>150</v>
      </c>
      <c r="Q3" s="18" t="s">
        <v>151</v>
      </c>
      <c r="R3" s="18" t="s">
        <v>152</v>
      </c>
      <c r="S3" s="18" t="s">
        <v>153</v>
      </c>
    </row>
    <row r="4" customFormat="false" ht="15" hidden="false" customHeight="false" outlineLevel="0" collapsed="false">
      <c r="A4" s="19" t="n">
        <v>2026</v>
      </c>
      <c r="B4" s="19" t="n">
        <f aca="false">$A4-1972</f>
        <v>54</v>
      </c>
      <c r="C4" s="19" t="n">
        <f aca="false">$A4-1977</f>
        <v>49</v>
      </c>
      <c r="D4" s="16" t="n">
        <f aca="false">IF($A4&lt;Inputs!$B$45,(Inputs!$B$27+Inputs!$B$28)*(1+Inputs!$B$6)^($A4-Inputs!$B$44),0)</f>
        <v>1200000</v>
      </c>
      <c r="E4" s="16" t="n">
        <f aca="false">IF($A4&lt;Inputs!$B$46,Inputs!$B$29*(1+Inputs!$B$7)^($A4-Inputs!$B$44),0)</f>
        <v>720000</v>
      </c>
      <c r="F4" s="16" t="n">
        <f aca="false">(Inputs!$B$18+Inputs!$B$20+2*Inputs!$B$21)*(1+Inputs!$B$5)^($A4-Inputs!$B$44)</f>
        <v>395000</v>
      </c>
      <c r="G4" s="16" t="n">
        <f aca="false">Inputs!$B$18*(1+Inputs!$B$5)^($A4-Inputs!$B$44)</f>
        <v>145000</v>
      </c>
      <c r="H4" s="16" t="n">
        <f aca="false">IF(D4=0,0,IF(MAX(D4-Inputs!$B$22-Tax!$B$4/2-F4,0)&gt;200000,Inputs!$B$24+(MAX(D4-Inputs!$B$22-Tax!$B$4/2-F4,0)-200000)*Inputs!$B$23,IF(MAX(D4-Inputs!$B$22-Tax!$B$4/2-F4,0)&gt;150000,9000+(MAX(D4-Inputs!$B$22-Tax!$B$4/2-F4,0)-150000)*0.14,IF(MAX(D4-Inputs!$B$22-Tax!$B$4/2-F4,0)&gt;100000,4000+(MAX(D4-Inputs!$B$22-Tax!$B$4/2-F4,0)-100000)*0.1,IF(MAX(D4-Inputs!$B$22-Tax!$B$4/2-F4,0)&gt;50000,1000+(MAX(D4-Inputs!$B$22-Tax!$B$4/2-F4,0)-50000)*0.06,MAX(MAX(D4-Inputs!$B$22-Tax!$B$4/2-F4,0),0)*0.02)))))</f>
        <v>110435</v>
      </c>
      <c r="I4" s="16" t="n">
        <f aca="false">IF(E4=0,0,IF(MAX(E4-Inputs!$B$22-Tax!$B$4/2-G4,0)&gt;200000,Inputs!$B$24+(MAX(E4-Inputs!$B$22-Tax!$B$4/2-G4,0)-200000)*Inputs!$B$23,IF(MAX(E4-Inputs!$B$22-Tax!$B$4/2-G4,0)&gt;150000,9000+(MAX(E4-Inputs!$B$22-Tax!$B$4/2-G4,0)-150000)*0.14,IF(MAX(E4-Inputs!$B$22-Tax!$B$4/2-G4,0)&gt;100000,4000+(MAX(E4-Inputs!$B$22-Tax!$B$4/2-G4,0)-100000)*0.1,IF(MAX(E4-Inputs!$B$22-Tax!$B$4/2-G4,0)&gt;50000,1000+(MAX(E4-Inputs!$B$22-Tax!$B$4/2-G4,0)-50000)*0.06,MAX(MAX(E4-Inputs!$B$22-Tax!$B$4/2-G4,0),0)*0.02)))))</f>
        <v>71335</v>
      </c>
      <c r="J4" s="16" t="n">
        <f aca="false">IF(D4&gt;0,Inputs!$B$22,0)+IF(E4&gt;0,Inputs!$B$22,0)</f>
        <v>36000</v>
      </c>
      <c r="K4" s="16" t="n">
        <f aca="false">IF($A4&lt;Inputs!$B$45,Inputs!$B$31*(1+Inputs!$B$5)^($A4-Inputs!$B$44),0)</f>
        <v>984000</v>
      </c>
      <c r="L4" s="16" t="n">
        <f aca="false">IF(AND($A4&gt;=Inputs!$B$47,$A4&lt;Inputs!$B$47+Inputs!$B$41),Inputs!$B$40*(1+Inputs!$B$8)^($A4-Inputs!$B$44),0)</f>
        <v>0</v>
      </c>
      <c r="M4" s="16" t="n">
        <f aca="false">IF($A4&gt;=Inputs!$B$45,Inputs!$B$32*(1+Inputs!$B$5)^($A4-Inputs!$B$44),0)</f>
        <v>0</v>
      </c>
      <c r="N4" s="16" t="n">
        <f aca="false">IF($A4&gt;=Inputs!$B$45,Inputs!$B$39,0)</f>
        <v>0</v>
      </c>
      <c r="O4" s="16" t="n">
        <f aca="false">D4+E4-H4-I4-J4-K4-L4-M4+N4-Inputs!$B$42</f>
        <v>718230</v>
      </c>
      <c r="P4" s="16" t="n">
        <f aca="false">BalanceSheet!$B$37</f>
        <v>9790000</v>
      </c>
      <c r="Q4" s="16" t="n">
        <f aca="false">P4*Inputs!$B$35</f>
        <v>469920</v>
      </c>
      <c r="R4" s="16" t="n">
        <f aca="false">IF($A4=Inputs!$B$45,-Inputs!$B$38,0)</f>
        <v>0</v>
      </c>
      <c r="S4" s="16" t="n">
        <f aca="false">MAX(P4+Q4+O4+R4,0)</f>
        <v>10978150</v>
      </c>
    </row>
    <row r="5" customFormat="false" ht="15" hidden="false" customHeight="false" outlineLevel="0" collapsed="false">
      <c r="A5" s="19" t="n">
        <v>2027</v>
      </c>
      <c r="B5" s="19" t="n">
        <f aca="false">$A5-1972</f>
        <v>55</v>
      </c>
      <c r="C5" s="19" t="n">
        <f aca="false">$A5-1977</f>
        <v>50</v>
      </c>
      <c r="D5" s="16" t="n">
        <f aca="false">IF($A5&lt;Inputs!$B$45,(Inputs!$B$27+Inputs!$B$28)*(1+Inputs!$B$6)^($A5-Inputs!$B$44),0)</f>
        <v>1236000</v>
      </c>
      <c r="E5" s="16" t="n">
        <f aca="false">IF($A5&lt;Inputs!$B$46,Inputs!$B$29*(1+Inputs!$B$7)^($A5-Inputs!$B$44),0)</f>
        <v>741600</v>
      </c>
      <c r="F5" s="16" t="n">
        <f aca="false">(Inputs!$B$18+Inputs!$B$20+2*Inputs!$B$21)*(1+Inputs!$B$5)^($A5-Inputs!$B$44)</f>
        <v>404875</v>
      </c>
      <c r="G5" s="16" t="n">
        <f aca="false">Inputs!$B$18*(1+Inputs!$B$5)^($A5-Inputs!$B$44)</f>
        <v>148625</v>
      </c>
      <c r="H5" s="16" t="n">
        <f aca="false">IF(D5=0,0,IF(MAX(D5-Inputs!$B$22-Tax!$B$4/2-F5,0)&gt;200000,Inputs!$B$24+(MAX(D5-Inputs!$B$22-Tax!$B$4/2-F5,0)-200000)*Inputs!$B$23,IF(MAX(D5-Inputs!$B$22-Tax!$B$4/2-F5,0)&gt;150000,9000+(MAX(D5-Inputs!$B$22-Tax!$B$4/2-F5,0)-150000)*0.14,IF(MAX(D5-Inputs!$B$22-Tax!$B$4/2-F5,0)&gt;100000,4000+(MAX(D5-Inputs!$B$22-Tax!$B$4/2-F5,0)-100000)*0.1,IF(MAX(D5-Inputs!$B$22-Tax!$B$4/2-F5,0)&gt;50000,1000+(MAX(D5-Inputs!$B$22-Tax!$B$4/2-F5,0)-50000)*0.06,MAX(MAX(D5-Inputs!$B$22-Tax!$B$4/2-F5,0),0)*0.02)))))</f>
        <v>114876.25</v>
      </c>
      <c r="I5" s="16" t="n">
        <f aca="false">IF(E5=0,0,IF(MAX(E5-Inputs!$B$22-Tax!$B$4/2-G5,0)&gt;200000,Inputs!$B$24+(MAX(E5-Inputs!$B$22-Tax!$B$4/2-G5,0)-200000)*Inputs!$B$23,IF(MAX(E5-Inputs!$B$22-Tax!$B$4/2-G5,0)&gt;150000,9000+(MAX(E5-Inputs!$B$22-Tax!$B$4/2-G5,0)-150000)*0.14,IF(MAX(E5-Inputs!$B$22-Tax!$B$4/2-G5,0)&gt;100000,4000+(MAX(E5-Inputs!$B$22-Tax!$B$4/2-G5,0)-100000)*0.1,IF(MAX(E5-Inputs!$B$22-Tax!$B$4/2-G5,0)&gt;50000,1000+(MAX(E5-Inputs!$B$22-Tax!$B$4/2-G5,0)-50000)*0.06,MAX(MAX(E5-Inputs!$B$22-Tax!$B$4/2-G5,0),0)*0.02)))))</f>
        <v>74390.75</v>
      </c>
      <c r="J5" s="16" t="n">
        <f aca="false">IF(D5&gt;0,Inputs!$B$22,0)+IF(E5&gt;0,Inputs!$B$22,0)</f>
        <v>36000</v>
      </c>
      <c r="K5" s="16" t="n">
        <f aca="false">IF($A5&lt;Inputs!$B$45,Inputs!$B$31*(1+Inputs!$B$5)^($A5-Inputs!$B$44),0)</f>
        <v>1008600</v>
      </c>
      <c r="L5" s="16" t="n">
        <f aca="false">IF(AND($A5&gt;=Inputs!$B$47,$A5&lt;Inputs!$B$47+Inputs!$B$41),Inputs!$B$40*(1+Inputs!$B$8)^($A5-Inputs!$B$44),0)</f>
        <v>0</v>
      </c>
      <c r="M5" s="16" t="n">
        <f aca="false">IF($A5&gt;=Inputs!$B$45,Inputs!$B$32*(1+Inputs!$B$5)^($A5-Inputs!$B$44),0)</f>
        <v>0</v>
      </c>
      <c r="N5" s="16" t="n">
        <f aca="false">IF($A5&gt;=Inputs!$B$45,Inputs!$B$39,0)</f>
        <v>0</v>
      </c>
      <c r="O5" s="16" t="n">
        <f aca="false">D5+E5-H5-I5-J5-K5-L5-M5+N5-Inputs!$B$42</f>
        <v>743733</v>
      </c>
      <c r="P5" s="16" t="n">
        <f aca="false">S4</f>
        <v>10978150</v>
      </c>
      <c r="Q5" s="16" t="n">
        <f aca="false">P5*Inputs!$B$35</f>
        <v>526951.2</v>
      </c>
      <c r="R5" s="16" t="n">
        <f aca="false">IF($A5=Inputs!$B$45,-Inputs!$B$38,0)</f>
        <v>0</v>
      </c>
      <c r="S5" s="16" t="n">
        <f aca="false">MAX(P5+Q5+O5+R5,0)</f>
        <v>12248834.2</v>
      </c>
    </row>
    <row r="6" customFormat="false" ht="15" hidden="false" customHeight="false" outlineLevel="0" collapsed="false">
      <c r="A6" s="19" t="n">
        <v>2028</v>
      </c>
      <c r="B6" s="19" t="n">
        <f aca="false">$A6-1972</f>
        <v>56</v>
      </c>
      <c r="C6" s="19" t="n">
        <f aca="false">$A6-1977</f>
        <v>51</v>
      </c>
      <c r="D6" s="16" t="n">
        <f aca="false">IF($A6&lt;Inputs!$B$45,(Inputs!$B$27+Inputs!$B$28)*(1+Inputs!$B$6)^($A6-Inputs!$B$44),0)</f>
        <v>1273080</v>
      </c>
      <c r="E6" s="16" t="n">
        <f aca="false">IF($A6&lt;Inputs!$B$46,Inputs!$B$29*(1+Inputs!$B$7)^($A6-Inputs!$B$44),0)</f>
        <v>763848</v>
      </c>
      <c r="F6" s="16" t="n">
        <f aca="false">(Inputs!$B$18+Inputs!$B$20+2*Inputs!$B$21)*(1+Inputs!$B$5)^($A6-Inputs!$B$44)</f>
        <v>414996.875</v>
      </c>
      <c r="G6" s="16" t="n">
        <f aca="false">Inputs!$B$18*(1+Inputs!$B$5)^($A6-Inputs!$B$44)</f>
        <v>152340.625</v>
      </c>
      <c r="H6" s="16" t="n">
        <f aca="false">IF(D6=0,0,IF(MAX(D6-Inputs!$B$22-Tax!$B$4/2-F6,0)&gt;200000,Inputs!$B$24+(MAX(D6-Inputs!$B$22-Tax!$B$4/2-F6,0)-200000)*Inputs!$B$23,IF(MAX(D6-Inputs!$B$22-Tax!$B$4/2-F6,0)&gt;150000,9000+(MAX(D6-Inputs!$B$22-Tax!$B$4/2-F6,0)-150000)*0.14,IF(MAX(D6-Inputs!$B$22-Tax!$B$4/2-F6,0)&gt;100000,4000+(MAX(D6-Inputs!$B$22-Tax!$B$4/2-F6,0)-100000)*0.1,IF(MAX(D6-Inputs!$B$22-Tax!$B$4/2-F6,0)&gt;50000,1000+(MAX(D6-Inputs!$B$22-Tax!$B$4/2-F6,0)-50000)*0.06,MAX(MAX(D6-Inputs!$B$22-Tax!$B$4/2-F6,0),0)*0.02)))))</f>
        <v>119459.13125</v>
      </c>
      <c r="I6" s="16" t="n">
        <f aca="false">IF(E6=0,0,IF(MAX(E6-Inputs!$B$22-Tax!$B$4/2-G6,0)&gt;200000,Inputs!$B$24+(MAX(E6-Inputs!$B$22-Tax!$B$4/2-G6,0)-200000)*Inputs!$B$23,IF(MAX(E6-Inputs!$B$22-Tax!$B$4/2-G6,0)&gt;150000,9000+(MAX(E6-Inputs!$B$22-Tax!$B$4/2-G6,0)-150000)*0.14,IF(MAX(E6-Inputs!$B$22-Tax!$B$4/2-G6,0)&gt;100000,4000+(MAX(E6-Inputs!$B$22-Tax!$B$4/2-G6,0)-100000)*0.1,IF(MAX(E6-Inputs!$B$22-Tax!$B$4/2-G6,0)&gt;50000,1000+(MAX(E6-Inputs!$B$22-Tax!$B$4/2-G6,0)-50000)*0.06,MAX(MAX(E6-Inputs!$B$22-Tax!$B$4/2-G6,0),0)*0.02)))))</f>
        <v>77541.25375</v>
      </c>
      <c r="J6" s="16" t="n">
        <f aca="false">IF(D6&gt;0,Inputs!$B$22,0)+IF(E6&gt;0,Inputs!$B$22,0)</f>
        <v>36000</v>
      </c>
      <c r="K6" s="16" t="n">
        <f aca="false">IF($A6&lt;Inputs!$B$45,Inputs!$B$31*(1+Inputs!$B$5)^($A6-Inputs!$B$44),0)</f>
        <v>1033815</v>
      </c>
      <c r="L6" s="16" t="n">
        <f aca="false">IF(AND($A6&gt;=Inputs!$B$47,$A6&lt;Inputs!$B$47+Inputs!$B$41),Inputs!$B$40*(1+Inputs!$B$8)^($A6-Inputs!$B$44),0)</f>
        <v>661500</v>
      </c>
      <c r="M6" s="16" t="n">
        <f aca="false">IF($A6&gt;=Inputs!$B$45,Inputs!$B$32*(1+Inputs!$B$5)^($A6-Inputs!$B$44),0)</f>
        <v>0</v>
      </c>
      <c r="N6" s="16" t="n">
        <f aca="false">IF($A6&gt;=Inputs!$B$45,Inputs!$B$39,0)</f>
        <v>0</v>
      </c>
      <c r="O6" s="16" t="n">
        <f aca="false">D6+E6-H6-I6-J6-K6-L6-M6+N6-Inputs!$B$42</f>
        <v>108612.615</v>
      </c>
      <c r="P6" s="16" t="n">
        <f aca="false">S5</f>
        <v>12248834.2</v>
      </c>
      <c r="Q6" s="16" t="n">
        <f aca="false">P6*Inputs!$B$35</f>
        <v>587944.0416</v>
      </c>
      <c r="R6" s="16" t="n">
        <f aca="false">IF($A6=Inputs!$B$45,-Inputs!$B$38,0)</f>
        <v>0</v>
      </c>
      <c r="S6" s="16" t="n">
        <f aca="false">MAX(P6+Q6+O6+R6,0)</f>
        <v>12945390.8566</v>
      </c>
    </row>
    <row r="7" customFormat="false" ht="15" hidden="false" customHeight="false" outlineLevel="0" collapsed="false">
      <c r="A7" s="19" t="n">
        <v>2029</v>
      </c>
      <c r="B7" s="19" t="n">
        <f aca="false">$A7-1972</f>
        <v>57</v>
      </c>
      <c r="C7" s="19" t="n">
        <f aca="false">$A7-1977</f>
        <v>52</v>
      </c>
      <c r="D7" s="16" t="n">
        <f aca="false">IF($A7&lt;Inputs!$B$45,(Inputs!$B$27+Inputs!$B$28)*(1+Inputs!$B$6)^($A7-Inputs!$B$44),0)</f>
        <v>1311272.4</v>
      </c>
      <c r="E7" s="16" t="n">
        <f aca="false">IF($A7&lt;Inputs!$B$46,Inputs!$B$29*(1+Inputs!$B$7)^($A7-Inputs!$B$44),0)</f>
        <v>786763.44</v>
      </c>
      <c r="F7" s="16" t="n">
        <f aca="false">(Inputs!$B$18+Inputs!$B$20+2*Inputs!$B$21)*(1+Inputs!$B$5)^($A7-Inputs!$B$44)</f>
        <v>425371.796875</v>
      </c>
      <c r="G7" s="16" t="n">
        <f aca="false">Inputs!$B$18*(1+Inputs!$B$5)^($A7-Inputs!$B$44)</f>
        <v>156149.140625</v>
      </c>
      <c r="H7" s="16" t="n">
        <f aca="false">IF(D7=0,0,IF(MAX(D7-Inputs!$B$22-Tax!$B$4/2-F7,0)&gt;200000,Inputs!$B$24+(MAX(D7-Inputs!$B$22-Tax!$B$4/2-F7,0)-200000)*Inputs!$B$23,IF(MAX(D7-Inputs!$B$22-Tax!$B$4/2-F7,0)&gt;150000,9000+(MAX(D7-Inputs!$B$22-Tax!$B$4/2-F7,0)-150000)*0.14,IF(MAX(D7-Inputs!$B$22-Tax!$B$4/2-F7,0)&gt;100000,4000+(MAX(D7-Inputs!$B$22-Tax!$B$4/2-F7,0)-100000)*0.1,IF(MAX(D7-Inputs!$B$22-Tax!$B$4/2-F7,0)&gt;50000,1000+(MAX(D7-Inputs!$B$22-Tax!$B$4/2-F7,0)-50000)*0.06,MAX(MAX(D7-Inputs!$B$22-Tax!$B$4/2-F7,0),0)*0.02)))))</f>
        <v>124188.10253125</v>
      </c>
      <c r="I7" s="16" t="n">
        <f aca="false">IF(E7=0,0,IF(MAX(E7-Inputs!$B$22-Tax!$B$4/2-G7,0)&gt;200000,Inputs!$B$24+(MAX(E7-Inputs!$B$22-Tax!$B$4/2-G7,0)-200000)*Inputs!$B$23,IF(MAX(E7-Inputs!$B$22-Tax!$B$4/2-G7,0)&gt;150000,9000+(MAX(E7-Inputs!$B$22-Tax!$B$4/2-G7,0)-150000)*0.14,IF(MAX(E7-Inputs!$B$22-Tax!$B$4/2-G7,0)&gt;100000,4000+(MAX(E7-Inputs!$B$22-Tax!$B$4/2-G7,0)-100000)*0.1,IF(MAX(E7-Inputs!$B$22-Tax!$B$4/2-G7,0)&gt;50000,1000+(MAX(E7-Inputs!$B$22-Tax!$B$4/2-G7,0)-50000)*0.06,MAX(MAX(E7-Inputs!$B$22-Tax!$B$4/2-G7,0),0)*0.02)))))</f>
        <v>80789.43089375</v>
      </c>
      <c r="J7" s="16" t="n">
        <f aca="false">IF(D7&gt;0,Inputs!$B$22,0)+IF(E7&gt;0,Inputs!$B$22,0)</f>
        <v>36000</v>
      </c>
      <c r="K7" s="16" t="n">
        <f aca="false">IF($A7&lt;Inputs!$B$45,Inputs!$B$31*(1+Inputs!$B$5)^($A7-Inputs!$B$44),0)</f>
        <v>1059660.375</v>
      </c>
      <c r="L7" s="16" t="n">
        <f aca="false">IF(AND($A7&gt;=Inputs!$B$47,$A7&lt;Inputs!$B$47+Inputs!$B$41),Inputs!$B$40*(1+Inputs!$B$8)^($A7-Inputs!$B$44),0)</f>
        <v>694575</v>
      </c>
      <c r="M7" s="16" t="n">
        <f aca="false">IF($A7&gt;=Inputs!$B$45,Inputs!$B$32*(1+Inputs!$B$5)^($A7-Inputs!$B$44),0)</f>
        <v>0</v>
      </c>
      <c r="N7" s="16" t="n">
        <f aca="false">IF($A7&gt;=Inputs!$B$45,Inputs!$B$39,0)</f>
        <v>0</v>
      </c>
      <c r="O7" s="16" t="n">
        <f aca="false">D7+E7-H7-I7-J7-K7-L7-M7+N7-Inputs!$B$42</f>
        <v>102822.931575</v>
      </c>
      <c r="P7" s="16" t="n">
        <f aca="false">S6</f>
        <v>12945390.8566</v>
      </c>
      <c r="Q7" s="16" t="n">
        <f aca="false">P7*Inputs!$B$35</f>
        <v>621378.7611168</v>
      </c>
      <c r="R7" s="16" t="n">
        <f aca="false">IF($A7=Inputs!$B$45,-Inputs!$B$38,0)</f>
        <v>0</v>
      </c>
      <c r="S7" s="16" t="n">
        <f aca="false">MAX(P7+Q7+O7+R7,0)</f>
        <v>13669592.5492918</v>
      </c>
    </row>
    <row r="8" customFormat="false" ht="15" hidden="false" customHeight="false" outlineLevel="0" collapsed="false">
      <c r="A8" s="19" t="n">
        <v>2030</v>
      </c>
      <c r="B8" s="19" t="n">
        <f aca="false">$A8-1972</f>
        <v>58</v>
      </c>
      <c r="C8" s="19" t="n">
        <f aca="false">$A8-1977</f>
        <v>53</v>
      </c>
      <c r="D8" s="16" t="n">
        <f aca="false">IF($A8&lt;Inputs!$B$45,(Inputs!$B$27+Inputs!$B$28)*(1+Inputs!$B$6)^($A8-Inputs!$B$44),0)</f>
        <v>1350610.572</v>
      </c>
      <c r="E8" s="16" t="n">
        <f aca="false">IF($A8&lt;Inputs!$B$46,Inputs!$B$29*(1+Inputs!$B$7)^($A8-Inputs!$B$44),0)</f>
        <v>810366.3432</v>
      </c>
      <c r="F8" s="16" t="n">
        <f aca="false">(Inputs!$B$18+Inputs!$B$20+2*Inputs!$B$21)*(1+Inputs!$B$5)^($A8-Inputs!$B$44)</f>
        <v>436006.091796875</v>
      </c>
      <c r="G8" s="16" t="n">
        <f aca="false">Inputs!$B$18*(1+Inputs!$B$5)^($A8-Inputs!$B$44)</f>
        <v>160052.869140625</v>
      </c>
      <c r="H8" s="16" t="n">
        <f aca="false">IF(D8=0,0,IF(MAX(D8-Inputs!$B$22-Tax!$B$4/2-F8,0)&gt;200000,Inputs!$B$24+(MAX(D8-Inputs!$B$22-Tax!$B$4/2-F8,0)-200000)*Inputs!$B$23,IF(MAX(D8-Inputs!$B$22-Tax!$B$4/2-F8,0)&gt;150000,9000+(MAX(D8-Inputs!$B$22-Tax!$B$4/2-F8,0)-150000)*0.14,IF(MAX(D8-Inputs!$B$22-Tax!$B$4/2-F8,0)&gt;100000,4000+(MAX(D8-Inputs!$B$22-Tax!$B$4/2-F8,0)-100000)*0.1,IF(MAX(D8-Inputs!$B$22-Tax!$B$4/2-F8,0)&gt;50000,1000+(MAX(D8-Inputs!$B$22-Tax!$B$4/2-F8,0)-50000)*0.06,MAX(MAX(D8-Inputs!$B$22-Tax!$B$4/2-F8,0),0)*0.02)))))</f>
        <v>129067.761634531</v>
      </c>
      <c r="I8" s="16" t="n">
        <f aca="false">IF(E8=0,0,IF(MAX(E8-Inputs!$B$22-Tax!$B$4/2-G8,0)&gt;200000,Inputs!$B$24+(MAX(E8-Inputs!$B$22-Tax!$B$4/2-G8,0)-200000)*Inputs!$B$23,IF(MAX(E8-Inputs!$B$22-Tax!$B$4/2-G8,0)&gt;150000,9000+(MAX(E8-Inputs!$B$22-Tax!$B$4/2-G8,0)-150000)*0.14,IF(MAX(E8-Inputs!$B$22-Tax!$B$4/2-G8,0)&gt;100000,4000+(MAX(E8-Inputs!$B$22-Tax!$B$4/2-G8,0)-100000)*0.1,IF(MAX(E8-Inputs!$B$22-Tax!$B$4/2-G8,0)&gt;50000,1000+(MAX(E8-Inputs!$B$22-Tax!$B$4/2-G8,0)-50000)*0.06,MAX(MAX(E8-Inputs!$B$22-Tax!$B$4/2-G8,0),0)*0.02)))))</f>
        <v>84138.2905900938</v>
      </c>
      <c r="J8" s="16" t="n">
        <f aca="false">IF(D8&gt;0,Inputs!$B$22,0)+IF(E8&gt;0,Inputs!$B$22,0)</f>
        <v>36000</v>
      </c>
      <c r="K8" s="16" t="n">
        <f aca="false">IF($A8&lt;Inputs!$B$45,Inputs!$B$31*(1+Inputs!$B$5)^($A8-Inputs!$B$44),0)</f>
        <v>1086151.884375</v>
      </c>
      <c r="L8" s="16" t="n">
        <f aca="false">IF(AND($A8&gt;=Inputs!$B$47,$A8&lt;Inputs!$B$47+Inputs!$B$41),Inputs!$B$40*(1+Inputs!$B$8)^($A8-Inputs!$B$44),0)</f>
        <v>729303.75</v>
      </c>
      <c r="M8" s="16" t="n">
        <f aca="false">IF($A8&gt;=Inputs!$B$45,Inputs!$B$32*(1+Inputs!$B$5)^($A8-Inputs!$B$44),0)</f>
        <v>0</v>
      </c>
      <c r="N8" s="16" t="n">
        <f aca="false">IF($A8&gt;=Inputs!$B$45,Inputs!$B$39,0)</f>
        <v>0</v>
      </c>
      <c r="O8" s="16" t="n">
        <f aca="false">D8+E8-H8-I8-J8-K8-L8-M8+N8-Inputs!$B$42</f>
        <v>96315.2286003755</v>
      </c>
      <c r="P8" s="16" t="n">
        <f aca="false">S7</f>
        <v>13669592.5492918</v>
      </c>
      <c r="Q8" s="16" t="n">
        <f aca="false">P8*Inputs!$B$35</f>
        <v>656140.442366006</v>
      </c>
      <c r="R8" s="16" t="n">
        <f aca="false">IF($A8=Inputs!$B$45,-Inputs!$B$38,0)</f>
        <v>0</v>
      </c>
      <c r="S8" s="16" t="n">
        <f aca="false">MAX(P8+Q8+O8+R8,0)</f>
        <v>14422048.2202582</v>
      </c>
    </row>
    <row r="9" customFormat="false" ht="15" hidden="false" customHeight="false" outlineLevel="0" collapsed="false">
      <c r="A9" s="19" t="n">
        <v>2031</v>
      </c>
      <c r="B9" s="19" t="n">
        <f aca="false">$A9-1972</f>
        <v>59</v>
      </c>
      <c r="C9" s="19" t="n">
        <f aca="false">$A9-1977</f>
        <v>54</v>
      </c>
      <c r="D9" s="16" t="n">
        <f aca="false">IF($A9&lt;Inputs!$B$45,(Inputs!$B$27+Inputs!$B$28)*(1+Inputs!$B$6)^($A9-Inputs!$B$44),0)</f>
        <v>1391128.88916</v>
      </c>
      <c r="E9" s="16" t="n">
        <f aca="false">IF($A9&lt;Inputs!$B$46,Inputs!$B$29*(1+Inputs!$B$7)^($A9-Inputs!$B$44),0)</f>
        <v>834677.333496</v>
      </c>
      <c r="F9" s="16" t="n">
        <f aca="false">(Inputs!$B$18+Inputs!$B$20+2*Inputs!$B$21)*(1+Inputs!$B$5)^($A9-Inputs!$B$44)</f>
        <v>446906.244091797</v>
      </c>
      <c r="G9" s="16" t="n">
        <f aca="false">Inputs!$B$18*(1+Inputs!$B$5)^($A9-Inputs!$B$44)</f>
        <v>164054.190869141</v>
      </c>
      <c r="H9" s="16" t="n">
        <f aca="false">IF(D9=0,0,IF(MAX(D9-Inputs!$B$22-Tax!$B$4/2-F9,0)&gt;200000,Inputs!$B$24+(MAX(D9-Inputs!$B$22-Tax!$B$4/2-F9,0)-200000)*Inputs!$B$23,IF(MAX(D9-Inputs!$B$22-Tax!$B$4/2-F9,0)&gt;150000,9000+(MAX(D9-Inputs!$B$22-Tax!$B$4/2-F9,0)-150000)*0.14,IF(MAX(D9-Inputs!$B$22-Tax!$B$4/2-F9,0)&gt;100000,4000+(MAX(D9-Inputs!$B$22-Tax!$B$4/2-F9,0)-100000)*0.1,IF(MAX(D9-Inputs!$B$22-Tax!$B$4/2-F9,0)&gt;50000,1000+(MAX(D9-Inputs!$B$22-Tax!$B$4/2-F9,0)-50000)*0.06,MAX(MAX(D9-Inputs!$B$22-Tax!$B$4/2-F9,0),0)*0.02)))))</f>
        <v>134102.849661595</v>
      </c>
      <c r="I9" s="16" t="n">
        <f aca="false">IF(E9=0,0,IF(MAX(E9-Inputs!$B$22-Tax!$B$4/2-G9,0)&gt;200000,Inputs!$B$24+(MAX(E9-Inputs!$B$22-Tax!$B$4/2-G9,0)-200000)*Inputs!$B$23,IF(MAX(E9-Inputs!$B$22-Tax!$B$4/2-G9,0)&gt;150000,9000+(MAX(E9-Inputs!$B$22-Tax!$B$4/2-G9,0)-150000)*0.14,IF(MAX(E9-Inputs!$B$22-Tax!$B$4/2-G9,0)&gt;100000,4000+(MAX(E9-Inputs!$B$22-Tax!$B$4/2-G9,0)-100000)*0.1,IF(MAX(E9-Inputs!$B$22-Tax!$B$4/2-G9,0)&gt;50000,1000+(MAX(E9-Inputs!$B$22-Tax!$B$4/2-G9,0)-50000)*0.06,MAX(MAX(E9-Inputs!$B$22-Tax!$B$4/2-G9,0),0)*0.02)))))</f>
        <v>87590.9342465661</v>
      </c>
      <c r="J9" s="16" t="n">
        <f aca="false">IF(D9&gt;0,Inputs!$B$22,0)+IF(E9&gt;0,Inputs!$B$22,0)</f>
        <v>36000</v>
      </c>
      <c r="K9" s="16" t="n">
        <f aca="false">IF($A9&lt;Inputs!$B$45,Inputs!$B$31*(1+Inputs!$B$5)^($A9-Inputs!$B$44),0)</f>
        <v>1113305.68148437</v>
      </c>
      <c r="L9" s="16" t="n">
        <f aca="false">IF(AND($A9&gt;=Inputs!$B$47,$A9&lt;Inputs!$B$47+Inputs!$B$41),Inputs!$B$40*(1+Inputs!$B$8)^($A9-Inputs!$B$44),0)</f>
        <v>765768.9375</v>
      </c>
      <c r="M9" s="16" t="n">
        <f aca="false">IF($A9&gt;=Inputs!$B$45,Inputs!$B$32*(1+Inputs!$B$5)^($A9-Inputs!$B$44),0)</f>
        <v>0</v>
      </c>
      <c r="N9" s="16" t="n">
        <f aca="false">IF($A9&gt;=Inputs!$B$45,Inputs!$B$39,0)</f>
        <v>0</v>
      </c>
      <c r="O9" s="16" t="n">
        <f aca="false">D9+E9-H9-I9-J9-K9-L9-M9+N9-Inputs!$B$42</f>
        <v>89037.8197634646</v>
      </c>
      <c r="P9" s="16" t="n">
        <f aca="false">S8</f>
        <v>14422048.2202582</v>
      </c>
      <c r="Q9" s="16" t="n">
        <f aca="false">P9*Inputs!$B$35</f>
        <v>692258.314572393</v>
      </c>
      <c r="R9" s="16" t="n">
        <f aca="false">IF($A9=Inputs!$B$45,-Inputs!$B$38,0)</f>
        <v>0</v>
      </c>
      <c r="S9" s="16" t="n">
        <f aca="false">MAX(P9+Q9+O9+R9,0)</f>
        <v>15203344.354594</v>
      </c>
    </row>
    <row r="10" customFormat="false" ht="15" hidden="false" customHeight="false" outlineLevel="0" collapsed="false">
      <c r="A10" s="19" t="n">
        <v>2032</v>
      </c>
      <c r="B10" s="19" t="n">
        <f aca="false">$A10-1972</f>
        <v>60</v>
      </c>
      <c r="C10" s="19" t="n">
        <f aca="false">$A10-1977</f>
        <v>55</v>
      </c>
      <c r="D10" s="16" t="n">
        <f aca="false">IF($A10&lt;Inputs!$B$45,(Inputs!$B$27+Inputs!$B$28)*(1+Inputs!$B$6)^($A10-Inputs!$B$44),0)</f>
        <v>1432862.7558348</v>
      </c>
      <c r="E10" s="16" t="n">
        <f aca="false">IF($A10&lt;Inputs!$B$46,Inputs!$B$29*(1+Inputs!$B$7)^($A10-Inputs!$B$44),0)</f>
        <v>859717.65350088</v>
      </c>
      <c r="F10" s="16" t="n">
        <f aca="false">(Inputs!$B$18+Inputs!$B$20+2*Inputs!$B$21)*(1+Inputs!$B$5)^($A10-Inputs!$B$44)</f>
        <v>458078.900194092</v>
      </c>
      <c r="G10" s="16" t="n">
        <f aca="false">Inputs!$B$18*(1+Inputs!$B$5)^($A10-Inputs!$B$44)</f>
        <v>168155.545640869</v>
      </c>
      <c r="H10" s="16" t="n">
        <f aca="false">IF(D10=0,0,IF(MAX(D10-Inputs!$B$22-Tax!$B$4/2-F10,0)&gt;200000,Inputs!$B$24+(MAX(D10-Inputs!$B$22-Tax!$B$4/2-F10,0)-200000)*Inputs!$B$23,IF(MAX(D10-Inputs!$B$22-Tax!$B$4/2-F10,0)&gt;150000,9000+(MAX(D10-Inputs!$B$22-Tax!$B$4/2-F10,0)-150000)*0.14,IF(MAX(D10-Inputs!$B$22-Tax!$B$4/2-F10,0)&gt;100000,4000+(MAX(D10-Inputs!$B$22-Tax!$B$4/2-F10,0)-100000)*0.1,IF(MAX(D10-Inputs!$B$22-Tax!$B$4/2-F10,0)&gt;50000,1000+(MAX(D10-Inputs!$B$22-Tax!$B$4/2-F10,0)-50000)*0.06,MAX(MAX(D10-Inputs!$B$22-Tax!$B$4/2-F10,0),0)*0.02)))))</f>
        <v>139298.255458921</v>
      </c>
      <c r="I10" s="16" t="n">
        <f aca="false">IF(E10=0,0,IF(MAX(E10-Inputs!$B$22-Tax!$B$4/2-G10,0)&gt;200000,Inputs!$B$24+(MAX(E10-Inputs!$B$22-Tax!$B$4/2-G10,0)-200000)*Inputs!$B$23,IF(MAX(E10-Inputs!$B$22-Tax!$B$4/2-G10,0)&gt;150000,9000+(MAX(E10-Inputs!$B$22-Tax!$B$4/2-G10,0)-150000)*0.14,IF(MAX(E10-Inputs!$B$22-Tax!$B$4/2-G10,0)&gt;100000,4000+(MAX(E10-Inputs!$B$22-Tax!$B$4/2-G10,0)-100000)*0.1,IF(MAX(E10-Inputs!$B$22-Tax!$B$4/2-G10,0)&gt;50000,1000+(MAX(E10-Inputs!$B$22-Tax!$B$4/2-G10,0)-50000)*0.06,MAX(MAX(E10-Inputs!$B$22-Tax!$B$4/2-G10,0),0)*0.02)))))</f>
        <v>91150.5583362019</v>
      </c>
      <c r="J10" s="16" t="n">
        <f aca="false">IF(D10&gt;0,Inputs!$B$22,0)+IF(E10&gt;0,Inputs!$B$22,0)</f>
        <v>36000</v>
      </c>
      <c r="K10" s="16" t="n">
        <f aca="false">IF($A10&lt;Inputs!$B$45,Inputs!$B$31*(1+Inputs!$B$5)^($A10-Inputs!$B$44),0)</f>
        <v>1141138.32352148</v>
      </c>
      <c r="L10" s="16" t="n">
        <f aca="false">IF(AND($A10&gt;=Inputs!$B$47,$A10&lt;Inputs!$B$47+Inputs!$B$41),Inputs!$B$40*(1+Inputs!$B$8)^($A10-Inputs!$B$44),0)</f>
        <v>0</v>
      </c>
      <c r="M10" s="16" t="n">
        <f aca="false">IF($A10&gt;=Inputs!$B$45,Inputs!$B$32*(1+Inputs!$B$5)^($A10-Inputs!$B$44),0)</f>
        <v>0</v>
      </c>
      <c r="N10" s="16" t="n">
        <f aca="false">IF($A10&gt;=Inputs!$B$45,Inputs!$B$39,0)</f>
        <v>0</v>
      </c>
      <c r="O10" s="16" t="n">
        <f aca="false">D10+E10-H10-I10-J10-K10-L10-M10+N10-Inputs!$B$42</f>
        <v>884993.272019075</v>
      </c>
      <c r="P10" s="16" t="n">
        <f aca="false">S9</f>
        <v>15203344.354594</v>
      </c>
      <c r="Q10" s="16" t="n">
        <f aca="false">P10*Inputs!$B$35</f>
        <v>729760.529020514</v>
      </c>
      <c r="R10" s="16" t="n">
        <f aca="false">IF($A10=Inputs!$B$45,-Inputs!$B$38,0)</f>
        <v>0</v>
      </c>
      <c r="S10" s="16" t="n">
        <f aca="false">MAX(P10+Q10+O10+R10,0)</f>
        <v>16818098.1556336</v>
      </c>
    </row>
    <row r="11" customFormat="false" ht="15" hidden="false" customHeight="false" outlineLevel="0" collapsed="false">
      <c r="A11" s="19" t="n">
        <v>2033</v>
      </c>
      <c r="B11" s="19" t="n">
        <f aca="false">$A11-1972</f>
        <v>61</v>
      </c>
      <c r="C11" s="19" t="n">
        <f aca="false">$A11-1977</f>
        <v>56</v>
      </c>
      <c r="D11" s="16" t="n">
        <f aca="false">IF($A11&lt;Inputs!$B$45,(Inputs!$B$27+Inputs!$B$28)*(1+Inputs!$B$6)^($A11-Inputs!$B$44),0)</f>
        <v>1475848.63850984</v>
      </c>
      <c r="E11" s="16" t="n">
        <f aca="false">IF($A11&lt;Inputs!$B$46,Inputs!$B$29*(1+Inputs!$B$7)^($A11-Inputs!$B$44),0)</f>
        <v>885509.183105907</v>
      </c>
      <c r="F11" s="16" t="n">
        <f aca="false">(Inputs!$B$18+Inputs!$B$20+2*Inputs!$B$21)*(1+Inputs!$B$5)^($A11-Inputs!$B$44)</f>
        <v>469530.872698944</v>
      </c>
      <c r="G11" s="16" t="n">
        <f aca="false">Inputs!$B$18*(1+Inputs!$B$5)^($A11-Inputs!$B$44)</f>
        <v>172359.434281891</v>
      </c>
      <c r="H11" s="16" t="n">
        <f aca="false">IF(D11=0,0,IF(MAX(D11-Inputs!$B$22-Tax!$B$4/2-F11,0)&gt;200000,Inputs!$B$24+(MAX(D11-Inputs!$B$22-Tax!$B$4/2-F11,0)-200000)*Inputs!$B$23,IF(MAX(D11-Inputs!$B$22-Tax!$B$4/2-F11,0)&gt;150000,9000+(MAX(D11-Inputs!$B$22-Tax!$B$4/2-F11,0)-150000)*0.14,IF(MAX(D11-Inputs!$B$22-Tax!$B$4/2-F11,0)&gt;100000,4000+(MAX(D11-Inputs!$B$22-Tax!$B$4/2-F11,0)-100000)*0.1,IF(MAX(D11-Inputs!$B$22-Tax!$B$4/2-F11,0)&gt;50000,1000+(MAX(D11-Inputs!$B$22-Tax!$B$4/2-F11,0)-50000)*0.06,MAX(MAX(D11-Inputs!$B$22-Tax!$B$4/2-F11,0),0)*0.02)))))</f>
        <v>144659.020187853</v>
      </c>
      <c r="I11" s="16" t="n">
        <f aca="false">IF(E11=0,0,IF(MAX(E11-Inputs!$B$22-Tax!$B$4/2-G11,0)&gt;200000,Inputs!$B$24+(MAX(E11-Inputs!$B$22-Tax!$B$4/2-G11,0)-200000)*Inputs!$B$23,IF(MAX(E11-Inputs!$B$22-Tax!$B$4/2-G11,0)&gt;150000,9000+(MAX(E11-Inputs!$B$22-Tax!$B$4/2-G11,0)-150000)*0.14,IF(MAX(E11-Inputs!$B$22-Tax!$B$4/2-G11,0)&gt;100000,4000+(MAX(E11-Inputs!$B$22-Tax!$B$4/2-G11,0)-100000)*0.1,IF(MAX(E11-Inputs!$B$22-Tax!$B$4/2-G11,0)&gt;50000,1000+(MAX(E11-Inputs!$B$22-Tax!$B$4/2-G11,0)-50000)*0.06,MAX(MAX(E11-Inputs!$B$22-Tax!$B$4/2-G11,0),0)*0.02)))))</f>
        <v>94820.4573000827</v>
      </c>
      <c r="J11" s="16" t="n">
        <f aca="false">IF(D11&gt;0,Inputs!$B$22,0)+IF(E11&gt;0,Inputs!$B$22,0)</f>
        <v>36000</v>
      </c>
      <c r="K11" s="16" t="n">
        <f aca="false">IF($A11&lt;Inputs!$B$45,Inputs!$B$31*(1+Inputs!$B$5)^($A11-Inputs!$B$44),0)</f>
        <v>1169666.78160952</v>
      </c>
      <c r="L11" s="16" t="n">
        <f aca="false">IF(AND($A11&gt;=Inputs!$B$47,$A11&lt;Inputs!$B$47+Inputs!$B$41),Inputs!$B$40*(1+Inputs!$B$8)^($A11-Inputs!$B$44),0)</f>
        <v>0</v>
      </c>
      <c r="M11" s="16" t="n">
        <f aca="false">IF($A11&gt;=Inputs!$B$45,Inputs!$B$32*(1+Inputs!$B$5)^($A11-Inputs!$B$44),0)</f>
        <v>0</v>
      </c>
      <c r="N11" s="16" t="n">
        <f aca="false">IF($A11&gt;=Inputs!$B$45,Inputs!$B$39,0)</f>
        <v>0</v>
      </c>
      <c r="O11" s="16" t="n">
        <f aca="false">D11+E11-H11-I11-J11-K11-L11-M11+N11-Inputs!$B$42</f>
        <v>916211.562518294</v>
      </c>
      <c r="P11" s="16" t="n">
        <f aca="false">S10</f>
        <v>16818098.1556336</v>
      </c>
      <c r="Q11" s="16" t="n">
        <f aca="false">P11*Inputs!$B$35</f>
        <v>807268.711470414</v>
      </c>
      <c r="R11" s="16" t="n">
        <f aca="false">IF($A11=Inputs!$B$45,-Inputs!$B$38,0)</f>
        <v>0</v>
      </c>
      <c r="S11" s="16" t="n">
        <f aca="false">MAX(P11+Q11+O11+R11,0)</f>
        <v>18541578.4296223</v>
      </c>
    </row>
    <row r="12" customFormat="false" ht="15" hidden="false" customHeight="false" outlineLevel="0" collapsed="false">
      <c r="A12" s="19" t="n">
        <v>2034</v>
      </c>
      <c r="B12" s="19" t="n">
        <f aca="false">$A12-1972</f>
        <v>62</v>
      </c>
      <c r="C12" s="19" t="n">
        <f aca="false">$A12-1977</f>
        <v>57</v>
      </c>
      <c r="D12" s="16" t="n">
        <f aca="false">IF($A12&lt;Inputs!$B$45,(Inputs!$B$27+Inputs!$B$28)*(1+Inputs!$B$6)^($A12-Inputs!$B$44),0)</f>
        <v>1520124.09766514</v>
      </c>
      <c r="E12" s="16" t="n">
        <f aca="false">IF($A12&lt;Inputs!$B$46,Inputs!$B$29*(1+Inputs!$B$7)^($A12-Inputs!$B$44),0)</f>
        <v>912074.458599084</v>
      </c>
      <c r="F12" s="16" t="n">
        <f aca="false">(Inputs!$B$18+Inputs!$B$20+2*Inputs!$B$21)*(1+Inputs!$B$5)^($A12-Inputs!$B$44)</f>
        <v>481269.144516417</v>
      </c>
      <c r="G12" s="16" t="n">
        <f aca="false">Inputs!$B$18*(1+Inputs!$B$5)^($A12-Inputs!$B$44)</f>
        <v>176668.420138938</v>
      </c>
      <c r="H12" s="16" t="n">
        <f aca="false">IF(D12=0,0,IF(MAX(D12-Inputs!$B$22-Tax!$B$4/2-F12,0)&gt;200000,Inputs!$B$24+(MAX(D12-Inputs!$B$22-Tax!$B$4/2-F12,0)-200000)*Inputs!$B$23,IF(MAX(D12-Inputs!$B$22-Tax!$B$4/2-F12,0)&gt;150000,9000+(MAX(D12-Inputs!$B$22-Tax!$B$4/2-F12,0)-150000)*0.14,IF(MAX(D12-Inputs!$B$22-Tax!$B$4/2-F12,0)&gt;100000,4000+(MAX(D12-Inputs!$B$22-Tax!$B$4/2-F12,0)-100000)*0.1,IF(MAX(D12-Inputs!$B$22-Tax!$B$4/2-F12,0)&gt;50000,1000+(MAX(D12-Inputs!$B$22-Tax!$B$4/2-F12,0)-50000)*0.06,MAX(MAX(D12-Inputs!$B$22-Tax!$B$4/2-F12,0),0)*0.02)))))</f>
        <v>150190.342035283</v>
      </c>
      <c r="I12" s="16" t="n">
        <f aca="false">IF(E12=0,0,IF(MAX(E12-Inputs!$B$22-Tax!$B$4/2-G12,0)&gt;200000,Inputs!$B$24+(MAX(E12-Inputs!$B$22-Tax!$B$4/2-G12,0)-200000)*Inputs!$B$23,IF(MAX(E12-Inputs!$B$22-Tax!$B$4/2-G12,0)&gt;150000,9000+(MAX(E12-Inputs!$B$22-Tax!$B$4/2-G12,0)-150000)*0.14,IF(MAX(E12-Inputs!$B$22-Tax!$B$4/2-G12,0)&gt;100000,4000+(MAX(E12-Inputs!$B$22-Tax!$B$4/2-G12,0)-100000)*0.1,IF(MAX(E12-Inputs!$B$22-Tax!$B$4/2-G12,0)&gt;50000,1000+(MAX(E12-Inputs!$B$22-Tax!$B$4/2-G12,0)-50000)*0.06,MAX(MAX(E12-Inputs!$B$22-Tax!$B$4/2-G12,0),0)*0.02)))))</f>
        <v>98604.0265382248</v>
      </c>
      <c r="J12" s="16" t="n">
        <f aca="false">IF(D12&gt;0,Inputs!$B$22,0)+IF(E12&gt;0,Inputs!$B$22,0)</f>
        <v>36000</v>
      </c>
      <c r="K12" s="16" t="n">
        <f aca="false">IF($A12&lt;Inputs!$B$45,Inputs!$B$31*(1+Inputs!$B$5)^($A12-Inputs!$B$44),0)</f>
        <v>1198908.45114976</v>
      </c>
      <c r="L12" s="16" t="n">
        <f aca="false">IF(AND($A12&gt;=Inputs!$B$47,$A12&lt;Inputs!$B$47+Inputs!$B$41),Inputs!$B$40*(1+Inputs!$B$8)^($A12-Inputs!$B$44),0)</f>
        <v>0</v>
      </c>
      <c r="M12" s="16" t="n">
        <f aca="false">IF($A12&gt;=Inputs!$B$45,Inputs!$B$32*(1+Inputs!$B$5)^($A12-Inputs!$B$44),0)</f>
        <v>0</v>
      </c>
      <c r="N12" s="16" t="n">
        <f aca="false">IF($A12&gt;=Inputs!$B$45,Inputs!$B$39,0)</f>
        <v>0</v>
      </c>
      <c r="O12" s="16" t="n">
        <f aca="false">D12+E12-H12-I12-J12-K12-L12-M12+N12-Inputs!$B$42</f>
        <v>948495.736540957</v>
      </c>
      <c r="P12" s="16" t="n">
        <f aca="false">S11</f>
        <v>18541578.4296223</v>
      </c>
      <c r="Q12" s="16" t="n">
        <f aca="false">P12*Inputs!$B$35</f>
        <v>889995.764621872</v>
      </c>
      <c r="R12" s="16" t="n">
        <f aca="false">IF($A12=Inputs!$B$45,-Inputs!$B$38,0)</f>
        <v>0</v>
      </c>
      <c r="S12" s="16" t="n">
        <f aca="false">MAX(P12+Q12+O12+R12,0)</f>
        <v>20380069.9307852</v>
      </c>
    </row>
    <row r="13" customFormat="false" ht="15" hidden="false" customHeight="false" outlineLevel="0" collapsed="false">
      <c r="A13" s="19" t="n">
        <v>2035</v>
      </c>
      <c r="B13" s="19" t="n">
        <f aca="false">$A13-1972</f>
        <v>63</v>
      </c>
      <c r="C13" s="19" t="n">
        <f aca="false">$A13-1977</f>
        <v>58</v>
      </c>
      <c r="D13" s="16" t="n">
        <f aca="false">IF($A13&lt;Inputs!$B$45,(Inputs!$B$27+Inputs!$B$28)*(1+Inputs!$B$6)^($A13-Inputs!$B$44),0)</f>
        <v>1565727.82059509</v>
      </c>
      <c r="E13" s="16" t="n">
        <f aca="false">IF($A13&lt;Inputs!$B$46,Inputs!$B$29*(1+Inputs!$B$7)^($A13-Inputs!$B$44),0)</f>
        <v>939436.692357056</v>
      </c>
      <c r="F13" s="16" t="n">
        <f aca="false">(Inputs!$B$18+Inputs!$B$20+2*Inputs!$B$21)*(1+Inputs!$B$5)^($A13-Inputs!$B$44)</f>
        <v>493300.873129328</v>
      </c>
      <c r="G13" s="16" t="n">
        <f aca="false">Inputs!$B$18*(1+Inputs!$B$5)^($A13-Inputs!$B$44)</f>
        <v>181085.130642411</v>
      </c>
      <c r="H13" s="16" t="n">
        <f aca="false">IF(D13=0,0,IF(MAX(D13-Inputs!$B$22-Tax!$B$4/2-F13,0)&gt;200000,Inputs!$B$24+(MAX(D13-Inputs!$B$22-Tax!$B$4/2-F13,0)-200000)*Inputs!$B$23,IF(MAX(D13-Inputs!$B$22-Tax!$B$4/2-F13,0)&gt;150000,9000+(MAX(D13-Inputs!$B$22-Tax!$B$4/2-F13,0)-150000)*0.14,IF(MAX(D13-Inputs!$B$22-Tax!$B$4/2-F13,0)&gt;100000,4000+(MAX(D13-Inputs!$B$22-Tax!$B$4/2-F13,0)-100000)*0.1,IF(MAX(D13-Inputs!$B$22-Tax!$B$4/2-F13,0)&gt;50000,1000+(MAX(D13-Inputs!$B$22-Tax!$B$4/2-F13,0)-50000)*0.06,MAX(MAX(D13-Inputs!$B$22-Tax!$B$4/2-F13,0),0)*0.02)))))</f>
        <v>155897.58106918</v>
      </c>
      <c r="I13" s="16" t="n">
        <f aca="false">IF(E13=0,0,IF(MAX(E13-Inputs!$B$22-Tax!$B$4/2-G13,0)&gt;200000,Inputs!$B$24+(MAX(E13-Inputs!$B$22-Tax!$B$4/2-G13,0)-200000)*Inputs!$B$23,IF(MAX(E13-Inputs!$B$22-Tax!$B$4/2-G13,0)&gt;150000,9000+(MAX(E13-Inputs!$B$22-Tax!$B$4/2-G13,0)-150000)*0.14,IF(MAX(E13-Inputs!$B$22-Tax!$B$4/2-G13,0)&gt;100000,4000+(MAX(E13-Inputs!$B$22-Tax!$B$4/2-G13,0)-100000)*0.1,IF(MAX(E13-Inputs!$B$22-Tax!$B$4/2-G13,0)&gt;50000,1000+(MAX(E13-Inputs!$B$22-Tax!$B$4/2-G13,0)-50000)*0.06,MAX(MAX(E13-Inputs!$B$22-Tax!$B$4/2-G13,0),0)*0.02)))))</f>
        <v>102504.76549149</v>
      </c>
      <c r="J13" s="16" t="n">
        <f aca="false">IF(D13&gt;0,Inputs!$B$22,0)+IF(E13&gt;0,Inputs!$B$22,0)</f>
        <v>36000</v>
      </c>
      <c r="K13" s="16" t="n">
        <f aca="false">IF($A13&lt;Inputs!$B$45,Inputs!$B$31*(1+Inputs!$B$5)^($A13-Inputs!$B$44),0)</f>
        <v>1228881.1624285</v>
      </c>
      <c r="L13" s="16" t="n">
        <f aca="false">IF(AND($A13&gt;=Inputs!$B$47,$A13&lt;Inputs!$B$47+Inputs!$B$41),Inputs!$B$40*(1+Inputs!$B$8)^($A13-Inputs!$B$44),0)</f>
        <v>0</v>
      </c>
      <c r="M13" s="16" t="n">
        <f aca="false">IF($A13&gt;=Inputs!$B$45,Inputs!$B$32*(1+Inputs!$B$5)^($A13-Inputs!$B$44),0)</f>
        <v>0</v>
      </c>
      <c r="N13" s="16" t="n">
        <f aca="false">IF($A13&gt;=Inputs!$B$45,Inputs!$B$39,0)</f>
        <v>0</v>
      </c>
      <c r="O13" s="16" t="n">
        <f aca="false">D13+E13-H13-I13-J13-K13-L13-M13+N13-Inputs!$B$42</f>
        <v>981881.003962977</v>
      </c>
      <c r="P13" s="16" t="n">
        <f aca="false">S12</f>
        <v>20380069.9307852</v>
      </c>
      <c r="Q13" s="16" t="n">
        <f aca="false">P13*Inputs!$B$35</f>
        <v>978243.356677688</v>
      </c>
      <c r="R13" s="16" t="n">
        <f aca="false">IF($A13=Inputs!$B$45,-Inputs!$B$38,0)</f>
        <v>0</v>
      </c>
      <c r="S13" s="16" t="n">
        <f aca="false">MAX(P13+Q13+O13+R13,0)</f>
        <v>22340194.2914258</v>
      </c>
    </row>
    <row r="14" customFormat="false" ht="15" hidden="false" customHeight="false" outlineLevel="0" collapsed="false">
      <c r="A14" s="19" t="n">
        <v>2036</v>
      </c>
      <c r="B14" s="19" t="n">
        <f aca="false">$A14-1972</f>
        <v>64</v>
      </c>
      <c r="C14" s="19" t="n">
        <f aca="false">$A14-1977</f>
        <v>59</v>
      </c>
      <c r="D14" s="16" t="n">
        <f aca="false">IF($A14&lt;Inputs!$B$45,(Inputs!$B$27+Inputs!$B$28)*(1+Inputs!$B$6)^($A14-Inputs!$B$44),0)</f>
        <v>1612699.65521295</v>
      </c>
      <c r="E14" s="16" t="n">
        <f aca="false">IF($A14&lt;Inputs!$B$46,Inputs!$B$29*(1+Inputs!$B$7)^($A14-Inputs!$B$44),0)</f>
        <v>967619.793127768</v>
      </c>
      <c r="F14" s="16" t="n">
        <f aca="false">(Inputs!$B$18+Inputs!$B$20+2*Inputs!$B$21)*(1+Inputs!$B$5)^($A14-Inputs!$B$44)</f>
        <v>505633.394957561</v>
      </c>
      <c r="G14" s="16" t="n">
        <f aca="false">Inputs!$B$18*(1+Inputs!$B$5)^($A14-Inputs!$B$44)</f>
        <v>185612.258908472</v>
      </c>
      <c r="H14" s="16" t="n">
        <f aca="false">IF(D14=0,0,IF(MAX(D14-Inputs!$B$22-Tax!$B$4/2-F14,0)&gt;200000,Inputs!$B$24+(MAX(D14-Inputs!$B$22-Tax!$B$4/2-F14,0)-200000)*Inputs!$B$23,IF(MAX(D14-Inputs!$B$22-Tax!$B$4/2-F14,0)&gt;150000,9000+(MAX(D14-Inputs!$B$22-Tax!$B$4/2-F14,0)-150000)*0.14,IF(MAX(D14-Inputs!$B$22-Tax!$B$4/2-F14,0)&gt;100000,4000+(MAX(D14-Inputs!$B$22-Tax!$B$4/2-F14,0)-100000)*0.1,IF(MAX(D14-Inputs!$B$22-Tax!$B$4/2-F14,0)&gt;50000,1000+(MAX(D14-Inputs!$B$22-Tax!$B$4/2-F14,0)-50000)*0.06,MAX(MAX(D14-Inputs!$B$22-Tax!$B$4/2-F14,0),0)*0.02)))))</f>
        <v>161786.264243416</v>
      </c>
      <c r="I14" s="16" t="n">
        <f aca="false">IF(E14=0,0,IF(MAX(E14-Inputs!$B$22-Tax!$B$4/2-G14,0)&gt;200000,Inputs!$B$24+(MAX(E14-Inputs!$B$22-Tax!$B$4/2-G14,0)-200000)*Inputs!$B$23,IF(MAX(E14-Inputs!$B$22-Tax!$B$4/2-G14,0)&gt;150000,9000+(MAX(E14-Inputs!$B$22-Tax!$B$4/2-G14,0)-150000)*0.14,IF(MAX(E14-Inputs!$B$22-Tax!$B$4/2-G14,0)&gt;100000,4000+(MAX(E14-Inputs!$B$22-Tax!$B$4/2-G14,0)-100000)*0.1,IF(MAX(E14-Inputs!$B$22-Tax!$B$4/2-G14,0)&gt;50000,1000+(MAX(E14-Inputs!$B$22-Tax!$B$4/2-G14,0)-50000)*0.06,MAX(MAX(E14-Inputs!$B$22-Tax!$B$4/2-G14,0),0)*0.02)))))</f>
        <v>106526.28081728</v>
      </c>
      <c r="J14" s="16" t="n">
        <f aca="false">IF(D14&gt;0,Inputs!$B$22,0)+IF(E14&gt;0,Inputs!$B$22,0)</f>
        <v>36000</v>
      </c>
      <c r="K14" s="16" t="n">
        <f aca="false">IF($A14&lt;Inputs!$B$45,Inputs!$B$31*(1+Inputs!$B$5)^($A14-Inputs!$B$44),0)</f>
        <v>1259603.19148922</v>
      </c>
      <c r="L14" s="16" t="n">
        <f aca="false">IF(AND($A14&gt;=Inputs!$B$47,$A14&lt;Inputs!$B$47+Inputs!$B$41),Inputs!$B$40*(1+Inputs!$B$8)^($A14-Inputs!$B$44),0)</f>
        <v>0</v>
      </c>
      <c r="M14" s="16" t="n">
        <f aca="false">IF($A14&gt;=Inputs!$B$45,Inputs!$B$32*(1+Inputs!$B$5)^($A14-Inputs!$B$44),0)</f>
        <v>0</v>
      </c>
      <c r="N14" s="16" t="n">
        <f aca="false">IF($A14&gt;=Inputs!$B$45,Inputs!$B$39,0)</f>
        <v>0</v>
      </c>
      <c r="O14" s="16" t="n">
        <f aca="false">D14+E14-H14-I14-J14-K14-L14-M14+N14-Inputs!$B$42</f>
        <v>1016403.7117908</v>
      </c>
      <c r="P14" s="16" t="n">
        <f aca="false">S13</f>
        <v>22340194.2914258</v>
      </c>
      <c r="Q14" s="16" t="n">
        <f aca="false">P14*Inputs!$B$35</f>
        <v>1072329.32598844</v>
      </c>
      <c r="R14" s="16" t="n">
        <f aca="false">IF($A14=Inputs!$B$45,-Inputs!$B$38,0)</f>
        <v>0</v>
      </c>
      <c r="S14" s="16" t="n">
        <f aca="false">MAX(P14+Q14+O14+R14,0)</f>
        <v>24428927.3292051</v>
      </c>
    </row>
    <row r="15" customFormat="false" ht="15" hidden="false" customHeight="false" outlineLevel="0" collapsed="false">
      <c r="A15" s="20" t="n">
        <v>2037</v>
      </c>
      <c r="B15" s="20" t="n">
        <f aca="false">$A15-1972</f>
        <v>65</v>
      </c>
      <c r="C15" s="20" t="n">
        <f aca="false">$A15-1977</f>
        <v>60</v>
      </c>
      <c r="D15" s="21" t="n">
        <f aca="false">IF($A15&lt;Inputs!$B$45,(Inputs!$B$27+Inputs!$B$28)*(1+Inputs!$B$6)^($A15-Inputs!$B$44),0)</f>
        <v>0</v>
      </c>
      <c r="E15" s="21" t="n">
        <f aca="false">IF($A15&lt;Inputs!$B$46,Inputs!$B$29*(1+Inputs!$B$7)^($A15-Inputs!$B$44),0)</f>
        <v>996648.386921601</v>
      </c>
      <c r="F15" s="21" t="n">
        <f aca="false">(Inputs!$B$18+Inputs!$B$20+2*Inputs!$B$21)*(1+Inputs!$B$5)^($A15-Inputs!$B$44)</f>
        <v>518274.2298315</v>
      </c>
      <c r="G15" s="21" t="n">
        <f aca="false">Inputs!$B$18*(1+Inputs!$B$5)^($A15-Inputs!$B$44)</f>
        <v>190252.565381184</v>
      </c>
      <c r="H15" s="21" t="n">
        <f aca="false">IF(D15=0,0,IF(MAX(D15-Inputs!$B$22-Tax!$B$4/2-F15,0)&gt;200000,Inputs!$B$24+(MAX(D15-Inputs!$B$22-Tax!$B$4/2-F15,0)-200000)*Inputs!$B$23,IF(MAX(D15-Inputs!$B$22-Tax!$B$4/2-F15,0)&gt;150000,9000+(MAX(D15-Inputs!$B$22-Tax!$B$4/2-F15,0)-150000)*0.14,IF(MAX(D15-Inputs!$B$22-Tax!$B$4/2-F15,0)&gt;100000,4000+(MAX(D15-Inputs!$B$22-Tax!$B$4/2-F15,0)-100000)*0.1,IF(MAX(D15-Inputs!$B$22-Tax!$B$4/2-F15,0)&gt;50000,1000+(MAX(D15-Inputs!$B$22-Tax!$B$4/2-F15,0)-50000)*0.06,MAX(MAX(D15-Inputs!$B$22-Tax!$B$4/2-F15,0),0)*0.02)))))</f>
        <v>0</v>
      </c>
      <c r="I15" s="21" t="n">
        <f aca="false">IF(E15=0,0,IF(MAX(E15-Inputs!$B$22-Tax!$B$4/2-G15,0)&gt;200000,Inputs!$B$24+(MAX(E15-Inputs!$B$22-Tax!$B$4/2-G15,0)-200000)*Inputs!$B$23,IF(MAX(E15-Inputs!$B$22-Tax!$B$4/2-G15,0)&gt;150000,9000+(MAX(E15-Inputs!$B$22-Tax!$B$4/2-G15,0)-150000)*0.14,IF(MAX(E15-Inputs!$B$22-Tax!$B$4/2-G15,0)&gt;100000,4000+(MAX(E15-Inputs!$B$22-Tax!$B$4/2-G15,0)-100000)*0.1,IF(MAX(E15-Inputs!$B$22-Tax!$B$4/2-G15,0)&gt;50000,1000+(MAX(E15-Inputs!$B$22-Tax!$B$4/2-G15,0)-50000)*0.06,MAX(MAX(E15-Inputs!$B$22-Tax!$B$4/2-G15,0),0)*0.02)))))</f>
        <v>110672.289661871</v>
      </c>
      <c r="J15" s="21" t="n">
        <f aca="false">IF(D15&gt;0,Inputs!$B$22,0)+IF(E15&gt;0,Inputs!$B$22,0)</f>
        <v>18000</v>
      </c>
      <c r="K15" s="21" t="n">
        <f aca="false">IF($A15&lt;Inputs!$B$45,Inputs!$B$31*(1+Inputs!$B$5)^($A15-Inputs!$B$44),0)</f>
        <v>0</v>
      </c>
      <c r="L15" s="21" t="n">
        <f aca="false">IF(AND($A15&gt;=Inputs!$B$47,$A15&lt;Inputs!$B$47+Inputs!$B$41),Inputs!$B$40*(1+Inputs!$B$8)^($A15-Inputs!$B$44),0)</f>
        <v>0</v>
      </c>
      <c r="M15" s="21" t="n">
        <f aca="false">IF($A15&gt;=Inputs!$B$45,Inputs!$B$32*(1+Inputs!$B$5)^($A15-Inputs!$B$44),0)</f>
        <v>1023427.59308499</v>
      </c>
      <c r="N15" s="21" t="n">
        <f aca="false">IF($A15&gt;=Inputs!$B$45,Inputs!$B$39,0)</f>
        <v>268000</v>
      </c>
      <c r="O15" s="21" t="n">
        <f aca="false">D15+E15-H15-I15-J15-K15-L15-M15+N15-Inputs!$B$42</f>
        <v>112548.504174743</v>
      </c>
      <c r="P15" s="21" t="n">
        <f aca="false">S14</f>
        <v>24428927.3292051</v>
      </c>
      <c r="Q15" s="21" t="n">
        <f aca="false">P15*Inputs!$B$35</f>
        <v>1172588.51180184</v>
      </c>
      <c r="R15" s="21" t="n">
        <f aca="false">IF($A15=Inputs!$B$45,-Inputs!$B$38,0)</f>
        <v>-4120000</v>
      </c>
      <c r="S15" s="21" t="n">
        <f aca="false">MAX(P15+Q15+O15+R15,0)</f>
        <v>21594064.3451817</v>
      </c>
    </row>
    <row r="16" customFormat="false" ht="15" hidden="false" customHeight="false" outlineLevel="0" collapsed="false">
      <c r="A16" s="19" t="n">
        <v>2038</v>
      </c>
      <c r="B16" s="19" t="n">
        <f aca="false">$A16-1972</f>
        <v>66</v>
      </c>
      <c r="C16" s="19" t="n">
        <f aca="false">$A16-1977</f>
        <v>61</v>
      </c>
      <c r="D16" s="16" t="n">
        <f aca="false">IF($A16&lt;Inputs!$B$45,(Inputs!$B$27+Inputs!$B$28)*(1+Inputs!$B$6)^($A16-Inputs!$B$44),0)</f>
        <v>0</v>
      </c>
      <c r="E16" s="16" t="n">
        <f aca="false">IF($A16&lt;Inputs!$B$46,Inputs!$B$29*(1+Inputs!$B$7)^($A16-Inputs!$B$44),0)</f>
        <v>1026547.83852925</v>
      </c>
      <c r="F16" s="16" t="n">
        <f aca="false">(Inputs!$B$18+Inputs!$B$20+2*Inputs!$B$21)*(1+Inputs!$B$5)^($A16-Inputs!$B$44)</f>
        <v>531231.085577287</v>
      </c>
      <c r="G16" s="16" t="n">
        <f aca="false">Inputs!$B$18*(1+Inputs!$B$5)^($A16-Inputs!$B$44)</f>
        <v>195008.879515713</v>
      </c>
      <c r="H16" s="16" t="n">
        <f aca="false">IF(D16=0,0,IF(MAX(D16-Inputs!$B$22-Tax!$B$4/2-F16,0)&gt;200000,Inputs!$B$24+(MAX(D16-Inputs!$B$22-Tax!$B$4/2-F16,0)-200000)*Inputs!$B$23,IF(MAX(D16-Inputs!$B$22-Tax!$B$4/2-F16,0)&gt;150000,9000+(MAX(D16-Inputs!$B$22-Tax!$B$4/2-F16,0)-150000)*0.14,IF(MAX(D16-Inputs!$B$22-Tax!$B$4/2-F16,0)&gt;100000,4000+(MAX(D16-Inputs!$B$22-Tax!$B$4/2-F16,0)-100000)*0.1,IF(MAX(D16-Inputs!$B$22-Tax!$B$4/2-F16,0)&gt;50000,1000+(MAX(D16-Inputs!$B$22-Tax!$B$4/2-F16,0)-50000)*0.06,MAX(MAX(D16-Inputs!$B$22-Tax!$B$4/2-F16,0),0)*0.02)))))</f>
        <v>0</v>
      </c>
      <c r="I16" s="16" t="n">
        <f aca="false">IF(E16=0,0,IF(MAX(E16-Inputs!$B$22-Tax!$B$4/2-G16,0)&gt;200000,Inputs!$B$24+(MAX(E16-Inputs!$B$22-Tax!$B$4/2-G16,0)-200000)*Inputs!$B$23,IF(MAX(E16-Inputs!$B$22-Tax!$B$4/2-G16,0)&gt;150000,9000+(MAX(E16-Inputs!$B$22-Tax!$B$4/2-G16,0)-150000)*0.14,IF(MAX(E16-Inputs!$B$22-Tax!$B$4/2-G16,0)&gt;100000,4000+(MAX(E16-Inputs!$B$22-Tax!$B$4/2-G16,0)-100000)*0.1,IF(MAX(E16-Inputs!$B$22-Tax!$B$4/2-G16,0)&gt;50000,1000+(MAX(E16-Inputs!$B$22-Tax!$B$4/2-G16,0)-50000)*0.06,MAX(MAX(E16-Inputs!$B$22-Tax!$B$4/2-G16,0),0)*0.02)))))</f>
        <v>114946.623032301</v>
      </c>
      <c r="J16" s="16" t="n">
        <f aca="false">IF(D16&gt;0,Inputs!$B$22,0)+IF(E16&gt;0,Inputs!$B$22,0)</f>
        <v>18000</v>
      </c>
      <c r="K16" s="16" t="n">
        <f aca="false">IF($A16&lt;Inputs!$B$45,Inputs!$B$31*(1+Inputs!$B$5)^($A16-Inputs!$B$44),0)</f>
        <v>0</v>
      </c>
      <c r="L16" s="16" t="n">
        <f aca="false">IF(AND($A16&gt;=Inputs!$B$47,$A16&lt;Inputs!$B$47+Inputs!$B$41),Inputs!$B$40*(1+Inputs!$B$8)^($A16-Inputs!$B$44),0)</f>
        <v>0</v>
      </c>
      <c r="M16" s="16" t="n">
        <f aca="false">IF($A16&gt;=Inputs!$B$45,Inputs!$B$32*(1+Inputs!$B$5)^($A16-Inputs!$B$44),0)</f>
        <v>1049013.28291211</v>
      </c>
      <c r="N16" s="16" t="n">
        <f aca="false">IF($A16&gt;=Inputs!$B$45,Inputs!$B$39,0)</f>
        <v>268000</v>
      </c>
      <c r="O16" s="16" t="n">
        <f aca="false">D16+E16-H16-I16-J16-K16-L16-M16+N16-Inputs!$B$42</f>
        <v>112587.932584836</v>
      </c>
      <c r="P16" s="16" t="n">
        <f aca="false">S15</f>
        <v>21594064.3451817</v>
      </c>
      <c r="Q16" s="16" t="n">
        <f aca="false">P16*Inputs!$B$35</f>
        <v>1036515.08856872</v>
      </c>
      <c r="R16" s="16" t="n">
        <f aca="false">IF($A16=Inputs!$B$45,-Inputs!$B$38,0)</f>
        <v>0</v>
      </c>
      <c r="S16" s="16" t="n">
        <f aca="false">MAX(P16+Q16+O16+R16,0)</f>
        <v>22743167.3663352</v>
      </c>
    </row>
    <row r="17" customFormat="false" ht="15" hidden="false" customHeight="false" outlineLevel="0" collapsed="false">
      <c r="A17" s="20" t="n">
        <v>2039</v>
      </c>
      <c r="B17" s="20" t="n">
        <f aca="false">$A17-1972</f>
        <v>67</v>
      </c>
      <c r="C17" s="20" t="n">
        <f aca="false">$A17-1977</f>
        <v>62</v>
      </c>
      <c r="D17" s="21" t="n">
        <f aca="false">IF($A17&lt;Inputs!$B$45,(Inputs!$B$27+Inputs!$B$28)*(1+Inputs!$B$6)^($A17-Inputs!$B$44),0)</f>
        <v>0</v>
      </c>
      <c r="E17" s="21" t="n">
        <f aca="false">IF($A17&lt;Inputs!$B$46,Inputs!$B$29*(1+Inputs!$B$7)^($A17-Inputs!$B$44),0)</f>
        <v>0</v>
      </c>
      <c r="F17" s="21" t="n">
        <f aca="false">(Inputs!$B$18+Inputs!$B$20+2*Inputs!$B$21)*(1+Inputs!$B$5)^($A17-Inputs!$B$44)</f>
        <v>544511.862716719</v>
      </c>
      <c r="G17" s="21" t="n">
        <f aca="false">Inputs!$B$18*(1+Inputs!$B$5)^($A17-Inputs!$B$44)</f>
        <v>199884.101503606</v>
      </c>
      <c r="H17" s="21" t="n">
        <f aca="false">IF(D17=0,0,IF(MAX(D17-Inputs!$B$22-Tax!$B$4/2-F17,0)&gt;200000,Inputs!$B$24+(MAX(D17-Inputs!$B$22-Tax!$B$4/2-F17,0)-200000)*Inputs!$B$23,IF(MAX(D17-Inputs!$B$22-Tax!$B$4/2-F17,0)&gt;150000,9000+(MAX(D17-Inputs!$B$22-Tax!$B$4/2-F17,0)-150000)*0.14,IF(MAX(D17-Inputs!$B$22-Tax!$B$4/2-F17,0)&gt;100000,4000+(MAX(D17-Inputs!$B$22-Tax!$B$4/2-F17,0)-100000)*0.1,IF(MAX(D17-Inputs!$B$22-Tax!$B$4/2-F17,0)&gt;50000,1000+(MAX(D17-Inputs!$B$22-Tax!$B$4/2-F17,0)-50000)*0.06,MAX(MAX(D17-Inputs!$B$22-Tax!$B$4/2-F17,0),0)*0.02)))))</f>
        <v>0</v>
      </c>
      <c r="I17" s="21" t="n">
        <f aca="false">IF(E17=0,0,IF(MAX(E17-Inputs!$B$22-Tax!$B$4/2-G17,0)&gt;200000,Inputs!$B$24+(MAX(E17-Inputs!$B$22-Tax!$B$4/2-G17,0)-200000)*Inputs!$B$23,IF(MAX(E17-Inputs!$B$22-Tax!$B$4/2-G17,0)&gt;150000,9000+(MAX(E17-Inputs!$B$22-Tax!$B$4/2-G17,0)-150000)*0.14,IF(MAX(E17-Inputs!$B$22-Tax!$B$4/2-G17,0)&gt;100000,4000+(MAX(E17-Inputs!$B$22-Tax!$B$4/2-G17,0)-100000)*0.1,IF(MAX(E17-Inputs!$B$22-Tax!$B$4/2-G17,0)&gt;50000,1000+(MAX(E17-Inputs!$B$22-Tax!$B$4/2-G17,0)-50000)*0.06,MAX(MAX(E17-Inputs!$B$22-Tax!$B$4/2-G17,0),0)*0.02)))))</f>
        <v>0</v>
      </c>
      <c r="J17" s="21" t="n">
        <f aca="false">IF(D17&gt;0,Inputs!$B$22,0)+IF(E17&gt;0,Inputs!$B$22,0)</f>
        <v>0</v>
      </c>
      <c r="K17" s="21" t="n">
        <f aca="false">IF($A17&lt;Inputs!$B$45,Inputs!$B$31*(1+Inputs!$B$5)^($A17-Inputs!$B$44),0)</f>
        <v>0</v>
      </c>
      <c r="L17" s="21" t="n">
        <f aca="false">IF(AND($A17&gt;=Inputs!$B$47,$A17&lt;Inputs!$B$47+Inputs!$B$41),Inputs!$B$40*(1+Inputs!$B$8)^($A17-Inputs!$B$44),0)</f>
        <v>0</v>
      </c>
      <c r="M17" s="21" t="n">
        <f aca="false">IF($A17&gt;=Inputs!$B$45,Inputs!$B$32*(1+Inputs!$B$5)^($A17-Inputs!$B$44),0)</f>
        <v>1075238.61498491</v>
      </c>
      <c r="N17" s="21" t="n">
        <f aca="false">IF($A17&gt;=Inputs!$B$45,Inputs!$B$39,0)</f>
        <v>268000</v>
      </c>
      <c r="O17" s="21" t="n">
        <f aca="false">D17+E17-H17-I17-J17-K17-L17-M17+N17-Inputs!$B$42</f>
        <v>-807238.614984914</v>
      </c>
      <c r="P17" s="21" t="n">
        <f aca="false">S16</f>
        <v>22743167.3663352</v>
      </c>
      <c r="Q17" s="21" t="n">
        <f aca="false">P17*Inputs!$B$35</f>
        <v>1091672.03358409</v>
      </c>
      <c r="R17" s="21" t="n">
        <f aca="false">IF($A17=Inputs!$B$45,-Inputs!$B$38,0)</f>
        <v>0</v>
      </c>
      <c r="S17" s="21" t="n">
        <f aca="false">MAX(P17+Q17+O17+R17,0)</f>
        <v>23027600.7849344</v>
      </c>
    </row>
    <row r="18" customFormat="false" ht="15" hidden="false" customHeight="false" outlineLevel="0" collapsed="false">
      <c r="A18" s="19" t="n">
        <v>2040</v>
      </c>
      <c r="B18" s="19" t="n">
        <f aca="false">$A18-1972</f>
        <v>68</v>
      </c>
      <c r="C18" s="19" t="n">
        <f aca="false">$A18-1977</f>
        <v>63</v>
      </c>
      <c r="D18" s="16" t="n">
        <f aca="false">IF($A18&lt;Inputs!$B$45,(Inputs!$B$27+Inputs!$B$28)*(1+Inputs!$B$6)^($A18-Inputs!$B$44),0)</f>
        <v>0</v>
      </c>
      <c r="E18" s="16" t="n">
        <f aca="false">IF($A18&lt;Inputs!$B$46,Inputs!$B$29*(1+Inputs!$B$7)^($A18-Inputs!$B$44),0)</f>
        <v>0</v>
      </c>
      <c r="F18" s="16" t="n">
        <f aca="false">(Inputs!$B$18+Inputs!$B$20+2*Inputs!$B$21)*(1+Inputs!$B$5)^($A18-Inputs!$B$44)</f>
        <v>558124.659284637</v>
      </c>
      <c r="G18" s="16" t="n">
        <f aca="false">Inputs!$B$18*(1+Inputs!$B$5)^($A18-Inputs!$B$44)</f>
        <v>204881.204041196</v>
      </c>
      <c r="H18" s="16" t="n">
        <f aca="false">IF(D18=0,0,IF(MAX(D18-Inputs!$B$22-Tax!$B$4/2-F18,0)&gt;200000,Inputs!$B$24+(MAX(D18-Inputs!$B$22-Tax!$B$4/2-F18,0)-200000)*Inputs!$B$23,IF(MAX(D18-Inputs!$B$22-Tax!$B$4/2-F18,0)&gt;150000,9000+(MAX(D18-Inputs!$B$22-Tax!$B$4/2-F18,0)-150000)*0.14,IF(MAX(D18-Inputs!$B$22-Tax!$B$4/2-F18,0)&gt;100000,4000+(MAX(D18-Inputs!$B$22-Tax!$B$4/2-F18,0)-100000)*0.1,IF(MAX(D18-Inputs!$B$22-Tax!$B$4/2-F18,0)&gt;50000,1000+(MAX(D18-Inputs!$B$22-Tax!$B$4/2-F18,0)-50000)*0.06,MAX(MAX(D18-Inputs!$B$22-Tax!$B$4/2-F18,0),0)*0.02)))))</f>
        <v>0</v>
      </c>
      <c r="I18" s="16" t="n">
        <f aca="false">IF(E18=0,0,IF(MAX(E18-Inputs!$B$22-Tax!$B$4/2-G18,0)&gt;200000,Inputs!$B$24+(MAX(E18-Inputs!$B$22-Tax!$B$4/2-G18,0)-200000)*Inputs!$B$23,IF(MAX(E18-Inputs!$B$22-Tax!$B$4/2-G18,0)&gt;150000,9000+(MAX(E18-Inputs!$B$22-Tax!$B$4/2-G18,0)-150000)*0.14,IF(MAX(E18-Inputs!$B$22-Tax!$B$4/2-G18,0)&gt;100000,4000+(MAX(E18-Inputs!$B$22-Tax!$B$4/2-G18,0)-100000)*0.1,IF(MAX(E18-Inputs!$B$22-Tax!$B$4/2-G18,0)&gt;50000,1000+(MAX(E18-Inputs!$B$22-Tax!$B$4/2-G18,0)-50000)*0.06,MAX(MAX(E18-Inputs!$B$22-Tax!$B$4/2-G18,0),0)*0.02)))))</f>
        <v>0</v>
      </c>
      <c r="J18" s="16" t="n">
        <f aca="false">IF(D18&gt;0,Inputs!$B$22,0)+IF(E18&gt;0,Inputs!$B$22,0)</f>
        <v>0</v>
      </c>
      <c r="K18" s="16" t="n">
        <f aca="false">IF($A18&lt;Inputs!$B$45,Inputs!$B$31*(1+Inputs!$B$5)^($A18-Inputs!$B$44),0)</f>
        <v>0</v>
      </c>
      <c r="L18" s="16" t="n">
        <f aca="false">IF(AND($A18&gt;=Inputs!$B$47,$A18&lt;Inputs!$B$47+Inputs!$B$41),Inputs!$B$40*(1+Inputs!$B$8)^($A18-Inputs!$B$44),0)</f>
        <v>0</v>
      </c>
      <c r="M18" s="16" t="n">
        <f aca="false">IF($A18&gt;=Inputs!$B$45,Inputs!$B$32*(1+Inputs!$B$5)^($A18-Inputs!$B$44),0)</f>
        <v>1102119.58035954</v>
      </c>
      <c r="N18" s="16" t="n">
        <f aca="false">IF($A18&gt;=Inputs!$B$45,Inputs!$B$39,0)</f>
        <v>268000</v>
      </c>
      <c r="O18" s="16" t="n">
        <f aca="false">D18+E18-H18-I18-J18-K18-L18-M18+N18-Inputs!$B$42</f>
        <v>-834119.580359537</v>
      </c>
      <c r="P18" s="16" t="n">
        <f aca="false">S17</f>
        <v>23027600.7849344</v>
      </c>
      <c r="Q18" s="16" t="n">
        <f aca="false">P18*Inputs!$B$35</f>
        <v>1105324.83767685</v>
      </c>
      <c r="R18" s="16" t="n">
        <f aca="false">IF($A18=Inputs!$B$45,-Inputs!$B$38,0)</f>
        <v>0</v>
      </c>
      <c r="S18" s="16" t="n">
        <f aca="false">MAX(P18+Q18+O18+R18,0)</f>
        <v>23298806.0422517</v>
      </c>
    </row>
    <row r="19" customFormat="false" ht="15" hidden="false" customHeight="false" outlineLevel="0" collapsed="false">
      <c r="A19" s="19" t="n">
        <v>2041</v>
      </c>
      <c r="B19" s="19" t="n">
        <f aca="false">$A19-1972</f>
        <v>69</v>
      </c>
      <c r="C19" s="19" t="n">
        <f aca="false">$A19-1977</f>
        <v>64</v>
      </c>
      <c r="D19" s="16" t="n">
        <f aca="false">IF($A19&lt;Inputs!$B$45,(Inputs!$B$27+Inputs!$B$28)*(1+Inputs!$B$6)^($A19-Inputs!$B$44),0)</f>
        <v>0</v>
      </c>
      <c r="E19" s="16" t="n">
        <f aca="false">IF($A19&lt;Inputs!$B$46,Inputs!$B$29*(1+Inputs!$B$7)^($A19-Inputs!$B$44),0)</f>
        <v>0</v>
      </c>
      <c r="F19" s="16" t="n">
        <f aca="false">(Inputs!$B$18+Inputs!$B$20+2*Inputs!$B$21)*(1+Inputs!$B$5)^($A19-Inputs!$B$44)</f>
        <v>572077.775766753</v>
      </c>
      <c r="G19" s="16" t="n">
        <f aca="false">Inputs!$B$18*(1+Inputs!$B$5)^($A19-Inputs!$B$44)</f>
        <v>210003.234142226</v>
      </c>
      <c r="H19" s="16" t="n">
        <f aca="false">IF(D19=0,0,IF(MAX(D19-Inputs!$B$22-Tax!$B$4/2-F19,0)&gt;200000,Inputs!$B$24+(MAX(D19-Inputs!$B$22-Tax!$B$4/2-F19,0)-200000)*Inputs!$B$23,IF(MAX(D19-Inputs!$B$22-Tax!$B$4/2-F19,0)&gt;150000,9000+(MAX(D19-Inputs!$B$22-Tax!$B$4/2-F19,0)-150000)*0.14,IF(MAX(D19-Inputs!$B$22-Tax!$B$4/2-F19,0)&gt;100000,4000+(MAX(D19-Inputs!$B$22-Tax!$B$4/2-F19,0)-100000)*0.1,IF(MAX(D19-Inputs!$B$22-Tax!$B$4/2-F19,0)&gt;50000,1000+(MAX(D19-Inputs!$B$22-Tax!$B$4/2-F19,0)-50000)*0.06,MAX(MAX(D19-Inputs!$B$22-Tax!$B$4/2-F19,0),0)*0.02)))))</f>
        <v>0</v>
      </c>
      <c r="I19" s="16" t="n">
        <f aca="false">IF(E19=0,0,IF(MAX(E19-Inputs!$B$22-Tax!$B$4/2-G19,0)&gt;200000,Inputs!$B$24+(MAX(E19-Inputs!$B$22-Tax!$B$4/2-G19,0)-200000)*Inputs!$B$23,IF(MAX(E19-Inputs!$B$22-Tax!$B$4/2-G19,0)&gt;150000,9000+(MAX(E19-Inputs!$B$22-Tax!$B$4/2-G19,0)-150000)*0.14,IF(MAX(E19-Inputs!$B$22-Tax!$B$4/2-G19,0)&gt;100000,4000+(MAX(E19-Inputs!$B$22-Tax!$B$4/2-G19,0)-100000)*0.1,IF(MAX(E19-Inputs!$B$22-Tax!$B$4/2-G19,0)&gt;50000,1000+(MAX(E19-Inputs!$B$22-Tax!$B$4/2-G19,0)-50000)*0.06,MAX(MAX(E19-Inputs!$B$22-Tax!$B$4/2-G19,0),0)*0.02)))))</f>
        <v>0</v>
      </c>
      <c r="J19" s="16" t="n">
        <f aca="false">IF(D19&gt;0,Inputs!$B$22,0)+IF(E19&gt;0,Inputs!$B$22,0)</f>
        <v>0</v>
      </c>
      <c r="K19" s="16" t="n">
        <f aca="false">IF($A19&lt;Inputs!$B$45,Inputs!$B$31*(1+Inputs!$B$5)^($A19-Inputs!$B$44),0)</f>
        <v>0</v>
      </c>
      <c r="L19" s="16" t="n">
        <f aca="false">IF(AND($A19&gt;=Inputs!$B$47,$A19&lt;Inputs!$B$47+Inputs!$B$41),Inputs!$B$40*(1+Inputs!$B$8)^($A19-Inputs!$B$44),0)</f>
        <v>0</v>
      </c>
      <c r="M19" s="16" t="n">
        <f aca="false">IF($A19&gt;=Inputs!$B$45,Inputs!$B$32*(1+Inputs!$B$5)^($A19-Inputs!$B$44),0)</f>
        <v>1129672.56986853</v>
      </c>
      <c r="N19" s="16" t="n">
        <f aca="false">IF($A19&gt;=Inputs!$B$45,Inputs!$B$39,0)</f>
        <v>268000</v>
      </c>
      <c r="O19" s="16" t="n">
        <f aca="false">D19+E19-H19-I19-J19-K19-L19-M19+N19-Inputs!$B$42</f>
        <v>-861672.569868526</v>
      </c>
      <c r="P19" s="16" t="n">
        <f aca="false">S18</f>
        <v>23298806.0422517</v>
      </c>
      <c r="Q19" s="16" t="n">
        <f aca="false">P19*Inputs!$B$35</f>
        <v>1118342.69002808</v>
      </c>
      <c r="R19" s="16" t="n">
        <f aca="false">IF($A19=Inputs!$B$45,-Inputs!$B$38,0)</f>
        <v>0</v>
      </c>
      <c r="S19" s="16" t="n">
        <f aca="false">MAX(P19+Q19+O19+R19,0)</f>
        <v>23555476.1624113</v>
      </c>
    </row>
    <row r="20" customFormat="false" ht="15" hidden="false" customHeight="false" outlineLevel="0" collapsed="false">
      <c r="A20" s="19" t="n">
        <v>2042</v>
      </c>
      <c r="B20" s="19" t="n">
        <f aca="false">$A20-1972</f>
        <v>70</v>
      </c>
      <c r="C20" s="19" t="n">
        <f aca="false">$A20-1977</f>
        <v>65</v>
      </c>
      <c r="D20" s="16" t="n">
        <f aca="false">IF($A20&lt;Inputs!$B$45,(Inputs!$B$27+Inputs!$B$28)*(1+Inputs!$B$6)^($A20-Inputs!$B$44),0)</f>
        <v>0</v>
      </c>
      <c r="E20" s="16" t="n">
        <f aca="false">IF($A20&lt;Inputs!$B$46,Inputs!$B$29*(1+Inputs!$B$7)^($A20-Inputs!$B$44),0)</f>
        <v>0</v>
      </c>
      <c r="F20" s="16" t="n">
        <f aca="false">(Inputs!$B$18+Inputs!$B$20+2*Inputs!$B$21)*(1+Inputs!$B$5)^($A20-Inputs!$B$44)</f>
        <v>586379.720160922</v>
      </c>
      <c r="G20" s="16" t="n">
        <f aca="false">Inputs!$B$18*(1+Inputs!$B$5)^($A20-Inputs!$B$44)</f>
        <v>215253.314995782</v>
      </c>
      <c r="H20" s="16" t="n">
        <f aca="false">IF(D20=0,0,IF(MAX(D20-Inputs!$B$22-Tax!$B$4/2-F20,0)&gt;200000,Inputs!$B$24+(MAX(D20-Inputs!$B$22-Tax!$B$4/2-F20,0)-200000)*Inputs!$B$23,IF(MAX(D20-Inputs!$B$22-Tax!$B$4/2-F20,0)&gt;150000,9000+(MAX(D20-Inputs!$B$22-Tax!$B$4/2-F20,0)-150000)*0.14,IF(MAX(D20-Inputs!$B$22-Tax!$B$4/2-F20,0)&gt;100000,4000+(MAX(D20-Inputs!$B$22-Tax!$B$4/2-F20,0)-100000)*0.1,IF(MAX(D20-Inputs!$B$22-Tax!$B$4/2-F20,0)&gt;50000,1000+(MAX(D20-Inputs!$B$22-Tax!$B$4/2-F20,0)-50000)*0.06,MAX(MAX(D20-Inputs!$B$22-Tax!$B$4/2-F20,0),0)*0.02)))))</f>
        <v>0</v>
      </c>
      <c r="I20" s="16" t="n">
        <f aca="false">IF(E20=0,0,IF(MAX(E20-Inputs!$B$22-Tax!$B$4/2-G20,0)&gt;200000,Inputs!$B$24+(MAX(E20-Inputs!$B$22-Tax!$B$4/2-G20,0)-200000)*Inputs!$B$23,IF(MAX(E20-Inputs!$B$22-Tax!$B$4/2-G20,0)&gt;150000,9000+(MAX(E20-Inputs!$B$22-Tax!$B$4/2-G20,0)-150000)*0.14,IF(MAX(E20-Inputs!$B$22-Tax!$B$4/2-G20,0)&gt;100000,4000+(MAX(E20-Inputs!$B$22-Tax!$B$4/2-G20,0)-100000)*0.1,IF(MAX(E20-Inputs!$B$22-Tax!$B$4/2-G20,0)&gt;50000,1000+(MAX(E20-Inputs!$B$22-Tax!$B$4/2-G20,0)-50000)*0.06,MAX(MAX(E20-Inputs!$B$22-Tax!$B$4/2-G20,0),0)*0.02)))))</f>
        <v>0</v>
      </c>
      <c r="J20" s="16" t="n">
        <f aca="false">IF(D20&gt;0,Inputs!$B$22,0)+IF(E20&gt;0,Inputs!$B$22,0)</f>
        <v>0</v>
      </c>
      <c r="K20" s="16" t="n">
        <f aca="false">IF($A20&lt;Inputs!$B$45,Inputs!$B$31*(1+Inputs!$B$5)^($A20-Inputs!$B$44),0)</f>
        <v>0</v>
      </c>
      <c r="L20" s="16" t="n">
        <f aca="false">IF(AND($A20&gt;=Inputs!$B$47,$A20&lt;Inputs!$B$47+Inputs!$B$41),Inputs!$B$40*(1+Inputs!$B$8)^($A20-Inputs!$B$44),0)</f>
        <v>0</v>
      </c>
      <c r="M20" s="16" t="n">
        <f aca="false">IF($A20&gt;=Inputs!$B$45,Inputs!$B$32*(1+Inputs!$B$5)^($A20-Inputs!$B$44),0)</f>
        <v>1157914.38411524</v>
      </c>
      <c r="N20" s="16" t="n">
        <f aca="false">IF($A20&gt;=Inputs!$B$45,Inputs!$B$39,0)</f>
        <v>268000</v>
      </c>
      <c r="O20" s="16" t="n">
        <f aca="false">D20+E20-H20-I20-J20-K20-L20-M20+N20-Inputs!$B$42</f>
        <v>-889914.384115238</v>
      </c>
      <c r="P20" s="16" t="n">
        <f aca="false">S19</f>
        <v>23555476.1624113</v>
      </c>
      <c r="Q20" s="16" t="n">
        <f aca="false">P20*Inputs!$B$35</f>
        <v>1130662.85579574</v>
      </c>
      <c r="R20" s="16" t="n">
        <f aca="false">IF($A20=Inputs!$B$45,-Inputs!$B$38,0)</f>
        <v>0</v>
      </c>
      <c r="S20" s="16" t="n">
        <f aca="false">MAX(P20+Q20+O20+R20,0)</f>
        <v>23796224.6340918</v>
      </c>
    </row>
    <row r="21" customFormat="false" ht="15" hidden="false" customHeight="false" outlineLevel="0" collapsed="false">
      <c r="A21" s="19" t="n">
        <v>2043</v>
      </c>
      <c r="B21" s="19" t="n">
        <f aca="false">$A21-1972</f>
        <v>71</v>
      </c>
      <c r="C21" s="19" t="n">
        <f aca="false">$A21-1977</f>
        <v>66</v>
      </c>
      <c r="D21" s="16" t="n">
        <f aca="false">IF($A21&lt;Inputs!$B$45,(Inputs!$B$27+Inputs!$B$28)*(1+Inputs!$B$6)^($A21-Inputs!$B$44),0)</f>
        <v>0</v>
      </c>
      <c r="E21" s="16" t="n">
        <f aca="false">IF($A21&lt;Inputs!$B$46,Inputs!$B$29*(1+Inputs!$B$7)^($A21-Inputs!$B$44),0)</f>
        <v>0</v>
      </c>
      <c r="F21" s="16" t="n">
        <f aca="false">(Inputs!$B$18+Inputs!$B$20+2*Inputs!$B$21)*(1+Inputs!$B$5)^($A21-Inputs!$B$44)</f>
        <v>601039.213164945</v>
      </c>
      <c r="G21" s="16" t="n">
        <f aca="false">Inputs!$B$18*(1+Inputs!$B$5)^($A21-Inputs!$B$44)</f>
        <v>220634.647870676</v>
      </c>
      <c r="H21" s="16" t="n">
        <f aca="false">IF(D21=0,0,IF(MAX(D21-Inputs!$B$22-Tax!$B$4/2-F21,0)&gt;200000,Inputs!$B$24+(MAX(D21-Inputs!$B$22-Tax!$B$4/2-F21,0)-200000)*Inputs!$B$23,IF(MAX(D21-Inputs!$B$22-Tax!$B$4/2-F21,0)&gt;150000,9000+(MAX(D21-Inputs!$B$22-Tax!$B$4/2-F21,0)-150000)*0.14,IF(MAX(D21-Inputs!$B$22-Tax!$B$4/2-F21,0)&gt;100000,4000+(MAX(D21-Inputs!$B$22-Tax!$B$4/2-F21,0)-100000)*0.1,IF(MAX(D21-Inputs!$B$22-Tax!$B$4/2-F21,0)&gt;50000,1000+(MAX(D21-Inputs!$B$22-Tax!$B$4/2-F21,0)-50000)*0.06,MAX(MAX(D21-Inputs!$B$22-Tax!$B$4/2-F21,0),0)*0.02)))))</f>
        <v>0</v>
      </c>
      <c r="I21" s="16" t="n">
        <f aca="false">IF(E21=0,0,IF(MAX(E21-Inputs!$B$22-Tax!$B$4/2-G21,0)&gt;200000,Inputs!$B$24+(MAX(E21-Inputs!$B$22-Tax!$B$4/2-G21,0)-200000)*Inputs!$B$23,IF(MAX(E21-Inputs!$B$22-Tax!$B$4/2-G21,0)&gt;150000,9000+(MAX(E21-Inputs!$B$22-Tax!$B$4/2-G21,0)-150000)*0.14,IF(MAX(E21-Inputs!$B$22-Tax!$B$4/2-G21,0)&gt;100000,4000+(MAX(E21-Inputs!$B$22-Tax!$B$4/2-G21,0)-100000)*0.1,IF(MAX(E21-Inputs!$B$22-Tax!$B$4/2-G21,0)&gt;50000,1000+(MAX(E21-Inputs!$B$22-Tax!$B$4/2-G21,0)-50000)*0.06,MAX(MAX(E21-Inputs!$B$22-Tax!$B$4/2-G21,0),0)*0.02)))))</f>
        <v>0</v>
      </c>
      <c r="J21" s="16" t="n">
        <f aca="false">IF(D21&gt;0,Inputs!$B$22,0)+IF(E21&gt;0,Inputs!$B$22,0)</f>
        <v>0</v>
      </c>
      <c r="K21" s="16" t="n">
        <f aca="false">IF($A21&lt;Inputs!$B$45,Inputs!$B$31*(1+Inputs!$B$5)^($A21-Inputs!$B$44),0)</f>
        <v>0</v>
      </c>
      <c r="L21" s="16" t="n">
        <f aca="false">IF(AND($A21&gt;=Inputs!$B$47,$A21&lt;Inputs!$B$47+Inputs!$B$41),Inputs!$B$40*(1+Inputs!$B$8)^($A21-Inputs!$B$44),0)</f>
        <v>0</v>
      </c>
      <c r="M21" s="16" t="n">
        <f aca="false">IF($A21&gt;=Inputs!$B$45,Inputs!$B$32*(1+Inputs!$B$5)^($A21-Inputs!$B$44),0)</f>
        <v>1186862.24371812</v>
      </c>
      <c r="N21" s="16" t="n">
        <f aca="false">IF($A21&gt;=Inputs!$B$45,Inputs!$B$39,0)</f>
        <v>268000</v>
      </c>
      <c r="O21" s="16" t="n">
        <f aca="false">D21+E21-H21-I21-J21-K21-L21-M21+N21-Inputs!$B$42</f>
        <v>-918862.243718119</v>
      </c>
      <c r="P21" s="16" t="n">
        <f aca="false">S20</f>
        <v>23796224.6340918</v>
      </c>
      <c r="Q21" s="16" t="n">
        <f aca="false">P21*Inputs!$B$35</f>
        <v>1142218.78243641</v>
      </c>
      <c r="R21" s="16" t="n">
        <f aca="false">IF($A21=Inputs!$B$45,-Inputs!$B$38,0)</f>
        <v>0</v>
      </c>
      <c r="S21" s="16" t="n">
        <f aca="false">MAX(P21+Q21+O21+R21,0)</f>
        <v>24019581.1728101</v>
      </c>
    </row>
    <row r="22" customFormat="false" ht="15" hidden="false" customHeight="false" outlineLevel="0" collapsed="false">
      <c r="A22" s="19" t="n">
        <v>2044</v>
      </c>
      <c r="B22" s="19" t="n">
        <f aca="false">$A22-1972</f>
        <v>72</v>
      </c>
      <c r="C22" s="19" t="n">
        <f aca="false">$A22-1977</f>
        <v>67</v>
      </c>
      <c r="D22" s="16" t="n">
        <f aca="false">IF($A22&lt;Inputs!$B$45,(Inputs!$B$27+Inputs!$B$28)*(1+Inputs!$B$6)^($A22-Inputs!$B$44),0)</f>
        <v>0</v>
      </c>
      <c r="E22" s="16" t="n">
        <f aca="false">IF($A22&lt;Inputs!$B$46,Inputs!$B$29*(1+Inputs!$B$7)^($A22-Inputs!$B$44),0)</f>
        <v>0</v>
      </c>
      <c r="F22" s="16" t="n">
        <f aca="false">(Inputs!$B$18+Inputs!$B$20+2*Inputs!$B$21)*(1+Inputs!$B$5)^($A22-Inputs!$B$44)</f>
        <v>616065.193494069</v>
      </c>
      <c r="G22" s="16" t="n">
        <f aca="false">Inputs!$B$18*(1+Inputs!$B$5)^($A22-Inputs!$B$44)</f>
        <v>226150.514067443</v>
      </c>
      <c r="H22" s="16" t="n">
        <f aca="false">IF(D22=0,0,IF(MAX(D22-Inputs!$B$22-Tax!$B$4/2-F22,0)&gt;200000,Inputs!$B$24+(MAX(D22-Inputs!$B$22-Tax!$B$4/2-F22,0)-200000)*Inputs!$B$23,IF(MAX(D22-Inputs!$B$22-Tax!$B$4/2-F22,0)&gt;150000,9000+(MAX(D22-Inputs!$B$22-Tax!$B$4/2-F22,0)-150000)*0.14,IF(MAX(D22-Inputs!$B$22-Tax!$B$4/2-F22,0)&gt;100000,4000+(MAX(D22-Inputs!$B$22-Tax!$B$4/2-F22,0)-100000)*0.1,IF(MAX(D22-Inputs!$B$22-Tax!$B$4/2-F22,0)&gt;50000,1000+(MAX(D22-Inputs!$B$22-Tax!$B$4/2-F22,0)-50000)*0.06,MAX(MAX(D22-Inputs!$B$22-Tax!$B$4/2-F22,0),0)*0.02)))))</f>
        <v>0</v>
      </c>
      <c r="I22" s="16" t="n">
        <f aca="false">IF(E22=0,0,IF(MAX(E22-Inputs!$B$22-Tax!$B$4/2-G22,0)&gt;200000,Inputs!$B$24+(MAX(E22-Inputs!$B$22-Tax!$B$4/2-G22,0)-200000)*Inputs!$B$23,IF(MAX(E22-Inputs!$B$22-Tax!$B$4/2-G22,0)&gt;150000,9000+(MAX(E22-Inputs!$B$22-Tax!$B$4/2-G22,0)-150000)*0.14,IF(MAX(E22-Inputs!$B$22-Tax!$B$4/2-G22,0)&gt;100000,4000+(MAX(E22-Inputs!$B$22-Tax!$B$4/2-G22,0)-100000)*0.1,IF(MAX(E22-Inputs!$B$22-Tax!$B$4/2-G22,0)&gt;50000,1000+(MAX(E22-Inputs!$B$22-Tax!$B$4/2-G22,0)-50000)*0.06,MAX(MAX(E22-Inputs!$B$22-Tax!$B$4/2-G22,0),0)*0.02)))))</f>
        <v>0</v>
      </c>
      <c r="J22" s="16" t="n">
        <f aca="false">IF(D22&gt;0,Inputs!$B$22,0)+IF(E22&gt;0,Inputs!$B$22,0)</f>
        <v>0</v>
      </c>
      <c r="K22" s="16" t="n">
        <f aca="false">IF($A22&lt;Inputs!$B$45,Inputs!$B$31*(1+Inputs!$B$5)^($A22-Inputs!$B$44),0)</f>
        <v>0</v>
      </c>
      <c r="L22" s="16" t="n">
        <f aca="false">IF(AND($A22&gt;=Inputs!$B$47,$A22&lt;Inputs!$B$47+Inputs!$B$41),Inputs!$B$40*(1+Inputs!$B$8)^($A22-Inputs!$B$44),0)</f>
        <v>0</v>
      </c>
      <c r="M22" s="16" t="n">
        <f aca="false">IF($A22&gt;=Inputs!$B$45,Inputs!$B$32*(1+Inputs!$B$5)^($A22-Inputs!$B$44),0)</f>
        <v>1216533.79981107</v>
      </c>
      <c r="N22" s="16" t="n">
        <f aca="false">IF($A22&gt;=Inputs!$B$45,Inputs!$B$39,0)</f>
        <v>268000</v>
      </c>
      <c r="O22" s="16" t="n">
        <f aca="false">D22+E22-H22-I22-J22-K22-L22-M22+N22-Inputs!$B$42</f>
        <v>-948533.799811072</v>
      </c>
      <c r="P22" s="16" t="n">
        <f aca="false">S21</f>
        <v>24019581.1728101</v>
      </c>
      <c r="Q22" s="16" t="n">
        <f aca="false">P22*Inputs!$B$35</f>
        <v>1152939.89629488</v>
      </c>
      <c r="R22" s="16" t="n">
        <f aca="false">IF($A22=Inputs!$B$45,-Inputs!$B$38,0)</f>
        <v>0</v>
      </c>
      <c r="S22" s="16" t="n">
        <f aca="false">MAX(P22+Q22+O22+R22,0)</f>
        <v>24223987.2692939</v>
      </c>
    </row>
    <row r="23" customFormat="false" ht="15" hidden="false" customHeight="false" outlineLevel="0" collapsed="false">
      <c r="A23" s="19" t="n">
        <v>2045</v>
      </c>
      <c r="B23" s="19" t="n">
        <f aca="false">$A23-1972</f>
        <v>73</v>
      </c>
      <c r="C23" s="19" t="n">
        <f aca="false">$A23-1977</f>
        <v>68</v>
      </c>
      <c r="D23" s="16" t="n">
        <f aca="false">IF($A23&lt;Inputs!$B$45,(Inputs!$B$27+Inputs!$B$28)*(1+Inputs!$B$6)^($A23-Inputs!$B$44),0)</f>
        <v>0</v>
      </c>
      <c r="E23" s="16" t="n">
        <f aca="false">IF($A23&lt;Inputs!$B$46,Inputs!$B$29*(1+Inputs!$B$7)^($A23-Inputs!$B$44),0)</f>
        <v>0</v>
      </c>
      <c r="F23" s="16" t="n">
        <f aca="false">(Inputs!$B$18+Inputs!$B$20+2*Inputs!$B$21)*(1+Inputs!$B$5)^($A23-Inputs!$B$44)</f>
        <v>631466.82333142</v>
      </c>
      <c r="G23" s="16" t="n">
        <f aca="false">Inputs!$B$18*(1+Inputs!$B$5)^($A23-Inputs!$B$44)</f>
        <v>231804.276919129</v>
      </c>
      <c r="H23" s="16" t="n">
        <f aca="false">IF(D23=0,0,IF(MAX(D23-Inputs!$B$22-Tax!$B$4/2-F23,0)&gt;200000,Inputs!$B$24+(MAX(D23-Inputs!$B$22-Tax!$B$4/2-F23,0)-200000)*Inputs!$B$23,IF(MAX(D23-Inputs!$B$22-Tax!$B$4/2-F23,0)&gt;150000,9000+(MAX(D23-Inputs!$B$22-Tax!$B$4/2-F23,0)-150000)*0.14,IF(MAX(D23-Inputs!$B$22-Tax!$B$4/2-F23,0)&gt;100000,4000+(MAX(D23-Inputs!$B$22-Tax!$B$4/2-F23,0)-100000)*0.1,IF(MAX(D23-Inputs!$B$22-Tax!$B$4/2-F23,0)&gt;50000,1000+(MAX(D23-Inputs!$B$22-Tax!$B$4/2-F23,0)-50000)*0.06,MAX(MAX(D23-Inputs!$B$22-Tax!$B$4/2-F23,0),0)*0.02)))))</f>
        <v>0</v>
      </c>
      <c r="I23" s="16" t="n">
        <f aca="false">IF(E23=0,0,IF(MAX(E23-Inputs!$B$22-Tax!$B$4/2-G23,0)&gt;200000,Inputs!$B$24+(MAX(E23-Inputs!$B$22-Tax!$B$4/2-G23,0)-200000)*Inputs!$B$23,IF(MAX(E23-Inputs!$B$22-Tax!$B$4/2-G23,0)&gt;150000,9000+(MAX(E23-Inputs!$B$22-Tax!$B$4/2-G23,0)-150000)*0.14,IF(MAX(E23-Inputs!$B$22-Tax!$B$4/2-G23,0)&gt;100000,4000+(MAX(E23-Inputs!$B$22-Tax!$B$4/2-G23,0)-100000)*0.1,IF(MAX(E23-Inputs!$B$22-Tax!$B$4/2-G23,0)&gt;50000,1000+(MAX(E23-Inputs!$B$22-Tax!$B$4/2-G23,0)-50000)*0.06,MAX(MAX(E23-Inputs!$B$22-Tax!$B$4/2-G23,0),0)*0.02)))))</f>
        <v>0</v>
      </c>
      <c r="J23" s="16" t="n">
        <f aca="false">IF(D23&gt;0,Inputs!$B$22,0)+IF(E23&gt;0,Inputs!$B$22,0)</f>
        <v>0</v>
      </c>
      <c r="K23" s="16" t="n">
        <f aca="false">IF($A23&lt;Inputs!$B$45,Inputs!$B$31*(1+Inputs!$B$5)^($A23-Inputs!$B$44),0)</f>
        <v>0</v>
      </c>
      <c r="L23" s="16" t="n">
        <f aca="false">IF(AND($A23&gt;=Inputs!$B$47,$A23&lt;Inputs!$B$47+Inputs!$B$41),Inputs!$B$40*(1+Inputs!$B$8)^($A23-Inputs!$B$44),0)</f>
        <v>0</v>
      </c>
      <c r="M23" s="16" t="n">
        <f aca="false">IF($A23&gt;=Inputs!$B$45,Inputs!$B$32*(1+Inputs!$B$5)^($A23-Inputs!$B$44),0)</f>
        <v>1246947.14480635</v>
      </c>
      <c r="N23" s="16" t="n">
        <f aca="false">IF($A23&gt;=Inputs!$B$45,Inputs!$B$39,0)</f>
        <v>268000</v>
      </c>
      <c r="O23" s="16" t="n">
        <f aca="false">D23+E23-H23-I23-J23-K23-L23-M23+N23-Inputs!$B$42</f>
        <v>-978947.144806349</v>
      </c>
      <c r="P23" s="16" t="n">
        <f aca="false">S22</f>
        <v>24223987.2692939</v>
      </c>
      <c r="Q23" s="16" t="n">
        <f aca="false">P23*Inputs!$B$35</f>
        <v>1162751.38892611</v>
      </c>
      <c r="R23" s="16" t="n">
        <f aca="false">IF($A23=Inputs!$B$45,-Inputs!$B$38,0)</f>
        <v>0</v>
      </c>
      <c r="S23" s="16" t="n">
        <f aca="false">MAX(P23+Q23+O23+R23,0)</f>
        <v>24407791.5134136</v>
      </c>
    </row>
    <row r="24" customFormat="false" ht="15" hidden="false" customHeight="false" outlineLevel="0" collapsed="false">
      <c r="A24" s="19" t="n">
        <v>2046</v>
      </c>
      <c r="B24" s="19" t="n">
        <f aca="false">$A24-1972</f>
        <v>74</v>
      </c>
      <c r="C24" s="19" t="n">
        <f aca="false">$A24-1977</f>
        <v>69</v>
      </c>
      <c r="D24" s="16" t="n">
        <f aca="false">IF($A24&lt;Inputs!$B$45,(Inputs!$B$27+Inputs!$B$28)*(1+Inputs!$B$6)^($A24-Inputs!$B$44),0)</f>
        <v>0</v>
      </c>
      <c r="E24" s="16" t="n">
        <f aca="false">IF($A24&lt;Inputs!$B$46,Inputs!$B$29*(1+Inputs!$B$7)^($A24-Inputs!$B$44),0)</f>
        <v>0</v>
      </c>
      <c r="F24" s="16" t="n">
        <f aca="false">(Inputs!$B$18+Inputs!$B$20+2*Inputs!$B$21)*(1+Inputs!$B$5)^($A24-Inputs!$B$44)</f>
        <v>647253.493914706</v>
      </c>
      <c r="G24" s="16" t="n">
        <f aca="false">Inputs!$B$18*(1+Inputs!$B$5)^($A24-Inputs!$B$44)</f>
        <v>237599.383842107</v>
      </c>
      <c r="H24" s="16" t="n">
        <f aca="false">IF(D24=0,0,IF(MAX(D24-Inputs!$B$22-Tax!$B$4/2-F24,0)&gt;200000,Inputs!$B$24+(MAX(D24-Inputs!$B$22-Tax!$B$4/2-F24,0)-200000)*Inputs!$B$23,IF(MAX(D24-Inputs!$B$22-Tax!$B$4/2-F24,0)&gt;150000,9000+(MAX(D24-Inputs!$B$22-Tax!$B$4/2-F24,0)-150000)*0.14,IF(MAX(D24-Inputs!$B$22-Tax!$B$4/2-F24,0)&gt;100000,4000+(MAX(D24-Inputs!$B$22-Tax!$B$4/2-F24,0)-100000)*0.1,IF(MAX(D24-Inputs!$B$22-Tax!$B$4/2-F24,0)&gt;50000,1000+(MAX(D24-Inputs!$B$22-Tax!$B$4/2-F24,0)-50000)*0.06,MAX(MAX(D24-Inputs!$B$22-Tax!$B$4/2-F24,0),0)*0.02)))))</f>
        <v>0</v>
      </c>
      <c r="I24" s="16" t="n">
        <f aca="false">IF(E24=0,0,IF(MAX(E24-Inputs!$B$22-Tax!$B$4/2-G24,0)&gt;200000,Inputs!$B$24+(MAX(E24-Inputs!$B$22-Tax!$B$4/2-G24,0)-200000)*Inputs!$B$23,IF(MAX(E24-Inputs!$B$22-Tax!$B$4/2-G24,0)&gt;150000,9000+(MAX(E24-Inputs!$B$22-Tax!$B$4/2-G24,0)-150000)*0.14,IF(MAX(E24-Inputs!$B$22-Tax!$B$4/2-G24,0)&gt;100000,4000+(MAX(E24-Inputs!$B$22-Tax!$B$4/2-G24,0)-100000)*0.1,IF(MAX(E24-Inputs!$B$22-Tax!$B$4/2-G24,0)&gt;50000,1000+(MAX(E24-Inputs!$B$22-Tax!$B$4/2-G24,0)-50000)*0.06,MAX(MAX(E24-Inputs!$B$22-Tax!$B$4/2-G24,0),0)*0.02)))))</f>
        <v>0</v>
      </c>
      <c r="J24" s="16" t="n">
        <f aca="false">IF(D24&gt;0,Inputs!$B$22,0)+IF(E24&gt;0,Inputs!$B$22,0)</f>
        <v>0</v>
      </c>
      <c r="K24" s="16" t="n">
        <f aca="false">IF($A24&lt;Inputs!$B$45,Inputs!$B$31*(1+Inputs!$B$5)^($A24-Inputs!$B$44),0)</f>
        <v>0</v>
      </c>
      <c r="L24" s="16" t="n">
        <f aca="false">IF(AND($A24&gt;=Inputs!$B$47,$A24&lt;Inputs!$B$47+Inputs!$B$41),Inputs!$B$40*(1+Inputs!$B$8)^($A24-Inputs!$B$44),0)</f>
        <v>0</v>
      </c>
      <c r="M24" s="16" t="n">
        <f aca="false">IF($A24&gt;=Inputs!$B$45,Inputs!$B$32*(1+Inputs!$B$5)^($A24-Inputs!$B$44),0)</f>
        <v>1278120.82342651</v>
      </c>
      <c r="N24" s="16" t="n">
        <f aca="false">IF($A24&gt;=Inputs!$B$45,Inputs!$B$39,0)</f>
        <v>268000</v>
      </c>
      <c r="O24" s="16" t="n">
        <f aca="false">D24+E24-H24-I24-J24-K24-L24-M24+N24-Inputs!$B$42</f>
        <v>-1010120.82342651</v>
      </c>
      <c r="P24" s="16" t="n">
        <f aca="false">S23</f>
        <v>24407791.5134136</v>
      </c>
      <c r="Q24" s="16" t="n">
        <f aca="false">P24*Inputs!$B$35</f>
        <v>1171573.99264385</v>
      </c>
      <c r="R24" s="16" t="n">
        <f aca="false">IF($A24=Inputs!$B$45,-Inputs!$B$38,0)</f>
        <v>0</v>
      </c>
      <c r="S24" s="16" t="n">
        <f aca="false">MAX(P24+Q24+O24+R24,0)</f>
        <v>24569244.682631</v>
      </c>
    </row>
    <row r="25" customFormat="false" ht="15" hidden="false" customHeight="false" outlineLevel="0" collapsed="false">
      <c r="A25" s="19" t="n">
        <v>2047</v>
      </c>
      <c r="B25" s="19" t="n">
        <f aca="false">$A25-1972</f>
        <v>75</v>
      </c>
      <c r="C25" s="19" t="n">
        <f aca="false">$A25-1977</f>
        <v>70</v>
      </c>
      <c r="D25" s="16" t="n">
        <f aca="false">IF($A25&lt;Inputs!$B$45,(Inputs!$B$27+Inputs!$B$28)*(1+Inputs!$B$6)^($A25-Inputs!$B$44),0)</f>
        <v>0</v>
      </c>
      <c r="E25" s="16" t="n">
        <f aca="false">IF($A25&lt;Inputs!$B$46,Inputs!$B$29*(1+Inputs!$B$7)^($A25-Inputs!$B$44),0)</f>
        <v>0</v>
      </c>
      <c r="F25" s="16" t="n">
        <f aca="false">(Inputs!$B$18+Inputs!$B$20+2*Inputs!$B$21)*(1+Inputs!$B$5)^($A25-Inputs!$B$44)</f>
        <v>663434.831262573</v>
      </c>
      <c r="G25" s="16" t="n">
        <f aca="false">Inputs!$B$18*(1+Inputs!$B$5)^($A25-Inputs!$B$44)</f>
        <v>243539.36843816</v>
      </c>
      <c r="H25" s="16" t="n">
        <f aca="false">IF(D25=0,0,IF(MAX(D25-Inputs!$B$22-Tax!$B$4/2-F25,0)&gt;200000,Inputs!$B$24+(MAX(D25-Inputs!$B$22-Tax!$B$4/2-F25,0)-200000)*Inputs!$B$23,IF(MAX(D25-Inputs!$B$22-Tax!$B$4/2-F25,0)&gt;150000,9000+(MAX(D25-Inputs!$B$22-Tax!$B$4/2-F25,0)-150000)*0.14,IF(MAX(D25-Inputs!$B$22-Tax!$B$4/2-F25,0)&gt;100000,4000+(MAX(D25-Inputs!$B$22-Tax!$B$4/2-F25,0)-100000)*0.1,IF(MAX(D25-Inputs!$B$22-Tax!$B$4/2-F25,0)&gt;50000,1000+(MAX(D25-Inputs!$B$22-Tax!$B$4/2-F25,0)-50000)*0.06,MAX(MAX(D25-Inputs!$B$22-Tax!$B$4/2-F25,0),0)*0.02)))))</f>
        <v>0</v>
      </c>
      <c r="I25" s="16" t="n">
        <f aca="false">IF(E25=0,0,IF(MAX(E25-Inputs!$B$22-Tax!$B$4/2-G25,0)&gt;200000,Inputs!$B$24+(MAX(E25-Inputs!$B$22-Tax!$B$4/2-G25,0)-200000)*Inputs!$B$23,IF(MAX(E25-Inputs!$B$22-Tax!$B$4/2-G25,0)&gt;150000,9000+(MAX(E25-Inputs!$B$22-Tax!$B$4/2-G25,0)-150000)*0.14,IF(MAX(E25-Inputs!$B$22-Tax!$B$4/2-G25,0)&gt;100000,4000+(MAX(E25-Inputs!$B$22-Tax!$B$4/2-G25,0)-100000)*0.1,IF(MAX(E25-Inputs!$B$22-Tax!$B$4/2-G25,0)&gt;50000,1000+(MAX(E25-Inputs!$B$22-Tax!$B$4/2-G25,0)-50000)*0.06,MAX(MAX(E25-Inputs!$B$22-Tax!$B$4/2-G25,0),0)*0.02)))))</f>
        <v>0</v>
      </c>
      <c r="J25" s="16" t="n">
        <f aca="false">IF(D25&gt;0,Inputs!$B$22,0)+IF(E25&gt;0,Inputs!$B$22,0)</f>
        <v>0</v>
      </c>
      <c r="K25" s="16" t="n">
        <f aca="false">IF($A25&lt;Inputs!$B$45,Inputs!$B$31*(1+Inputs!$B$5)^($A25-Inputs!$B$44),0)</f>
        <v>0</v>
      </c>
      <c r="L25" s="16" t="n">
        <f aca="false">IF(AND($A25&gt;=Inputs!$B$47,$A25&lt;Inputs!$B$47+Inputs!$B$41),Inputs!$B$40*(1+Inputs!$B$8)^($A25-Inputs!$B$44),0)</f>
        <v>0</v>
      </c>
      <c r="M25" s="16" t="n">
        <f aca="false">IF($A25&gt;=Inputs!$B$45,Inputs!$B$32*(1+Inputs!$B$5)^($A25-Inputs!$B$44),0)</f>
        <v>1310073.84401217</v>
      </c>
      <c r="N25" s="16" t="n">
        <f aca="false">IF($A25&gt;=Inputs!$B$45,Inputs!$B$39,0)</f>
        <v>268000</v>
      </c>
      <c r="O25" s="16" t="n">
        <f aca="false">D25+E25-H25-I25-J25-K25-L25-M25+N25-Inputs!$B$42</f>
        <v>-1042073.84401217</v>
      </c>
      <c r="P25" s="16" t="n">
        <f aca="false">S24</f>
        <v>24569244.682631</v>
      </c>
      <c r="Q25" s="16" t="n">
        <f aca="false">P25*Inputs!$B$35</f>
        <v>1179323.74476629</v>
      </c>
      <c r="R25" s="16" t="n">
        <f aca="false">IF($A25=Inputs!$B$45,-Inputs!$B$38,0)</f>
        <v>0</v>
      </c>
      <c r="S25" s="16" t="n">
        <f aca="false">MAX(P25+Q25+O25+R25,0)</f>
        <v>24706494.5833851</v>
      </c>
    </row>
    <row r="26" customFormat="false" ht="15" hidden="false" customHeight="false" outlineLevel="0" collapsed="false">
      <c r="A26" s="19" t="n">
        <v>2048</v>
      </c>
      <c r="B26" s="19" t="n">
        <f aca="false">$A26-1972</f>
        <v>76</v>
      </c>
      <c r="C26" s="19" t="n">
        <f aca="false">$A26-1977</f>
        <v>71</v>
      </c>
      <c r="D26" s="16" t="n">
        <f aca="false">IF($A26&lt;Inputs!$B$45,(Inputs!$B$27+Inputs!$B$28)*(1+Inputs!$B$6)^($A26-Inputs!$B$44),0)</f>
        <v>0</v>
      </c>
      <c r="E26" s="16" t="n">
        <f aca="false">IF($A26&lt;Inputs!$B$46,Inputs!$B$29*(1+Inputs!$B$7)^($A26-Inputs!$B$44),0)</f>
        <v>0</v>
      </c>
      <c r="F26" s="16" t="n">
        <f aca="false">(Inputs!$B$18+Inputs!$B$20+2*Inputs!$B$21)*(1+Inputs!$B$5)^($A26-Inputs!$B$44)</f>
        <v>680020.702044138</v>
      </c>
      <c r="G26" s="16" t="n">
        <f aca="false">Inputs!$B$18*(1+Inputs!$B$5)^($A26-Inputs!$B$44)</f>
        <v>249627.852649114</v>
      </c>
      <c r="H26" s="16" t="n">
        <f aca="false">IF(D26=0,0,IF(MAX(D26-Inputs!$B$22-Tax!$B$4/2-F26,0)&gt;200000,Inputs!$B$24+(MAX(D26-Inputs!$B$22-Tax!$B$4/2-F26,0)-200000)*Inputs!$B$23,IF(MAX(D26-Inputs!$B$22-Tax!$B$4/2-F26,0)&gt;150000,9000+(MAX(D26-Inputs!$B$22-Tax!$B$4/2-F26,0)-150000)*0.14,IF(MAX(D26-Inputs!$B$22-Tax!$B$4/2-F26,0)&gt;100000,4000+(MAX(D26-Inputs!$B$22-Tax!$B$4/2-F26,0)-100000)*0.1,IF(MAX(D26-Inputs!$B$22-Tax!$B$4/2-F26,0)&gt;50000,1000+(MAX(D26-Inputs!$B$22-Tax!$B$4/2-F26,0)-50000)*0.06,MAX(MAX(D26-Inputs!$B$22-Tax!$B$4/2-F26,0),0)*0.02)))))</f>
        <v>0</v>
      </c>
      <c r="I26" s="16" t="n">
        <f aca="false">IF(E26=0,0,IF(MAX(E26-Inputs!$B$22-Tax!$B$4/2-G26,0)&gt;200000,Inputs!$B$24+(MAX(E26-Inputs!$B$22-Tax!$B$4/2-G26,0)-200000)*Inputs!$B$23,IF(MAX(E26-Inputs!$B$22-Tax!$B$4/2-G26,0)&gt;150000,9000+(MAX(E26-Inputs!$B$22-Tax!$B$4/2-G26,0)-150000)*0.14,IF(MAX(E26-Inputs!$B$22-Tax!$B$4/2-G26,0)&gt;100000,4000+(MAX(E26-Inputs!$B$22-Tax!$B$4/2-G26,0)-100000)*0.1,IF(MAX(E26-Inputs!$B$22-Tax!$B$4/2-G26,0)&gt;50000,1000+(MAX(E26-Inputs!$B$22-Tax!$B$4/2-G26,0)-50000)*0.06,MAX(MAX(E26-Inputs!$B$22-Tax!$B$4/2-G26,0),0)*0.02)))))</f>
        <v>0</v>
      </c>
      <c r="J26" s="16" t="n">
        <f aca="false">IF(D26&gt;0,Inputs!$B$22,0)+IF(E26&gt;0,Inputs!$B$22,0)</f>
        <v>0</v>
      </c>
      <c r="K26" s="16" t="n">
        <f aca="false">IF($A26&lt;Inputs!$B$45,Inputs!$B$31*(1+Inputs!$B$5)^($A26-Inputs!$B$44),0)</f>
        <v>0</v>
      </c>
      <c r="L26" s="16" t="n">
        <f aca="false">IF(AND($A26&gt;=Inputs!$B$47,$A26&lt;Inputs!$B$47+Inputs!$B$41),Inputs!$B$40*(1+Inputs!$B$8)^($A26-Inputs!$B$44),0)</f>
        <v>0</v>
      </c>
      <c r="M26" s="16" t="n">
        <f aca="false">IF($A26&gt;=Inputs!$B$45,Inputs!$B$32*(1+Inputs!$B$5)^($A26-Inputs!$B$44),0)</f>
        <v>1342825.69011247</v>
      </c>
      <c r="N26" s="16" t="n">
        <f aca="false">IF($A26&gt;=Inputs!$B$45,Inputs!$B$39,0)</f>
        <v>268000</v>
      </c>
      <c r="O26" s="16" t="n">
        <f aca="false">D26+E26-H26-I26-J26-K26-L26-M26+N26-Inputs!$B$42</f>
        <v>-1074825.69011247</v>
      </c>
      <c r="P26" s="16" t="n">
        <f aca="false">S25</f>
        <v>24706494.5833851</v>
      </c>
      <c r="Q26" s="16" t="n">
        <f aca="false">P26*Inputs!$B$35</f>
        <v>1185911.74000248</v>
      </c>
      <c r="R26" s="16" t="n">
        <f aca="false">IF($A26=Inputs!$B$45,-Inputs!$B$38,0)</f>
        <v>0</v>
      </c>
      <c r="S26" s="16" t="n">
        <f aca="false">MAX(P26+Q26+O26+R26,0)</f>
        <v>24817580.6332751</v>
      </c>
    </row>
    <row r="27" customFormat="false" ht="15" hidden="false" customHeight="false" outlineLevel="0" collapsed="false">
      <c r="A27" s="19" t="n">
        <v>2049</v>
      </c>
      <c r="B27" s="19" t="n">
        <f aca="false">$A27-1972</f>
        <v>77</v>
      </c>
      <c r="C27" s="19" t="n">
        <f aca="false">$A27-1977</f>
        <v>72</v>
      </c>
      <c r="D27" s="16" t="n">
        <f aca="false">IF($A27&lt;Inputs!$B$45,(Inputs!$B$27+Inputs!$B$28)*(1+Inputs!$B$6)^($A27-Inputs!$B$44),0)</f>
        <v>0</v>
      </c>
      <c r="E27" s="16" t="n">
        <f aca="false">IF($A27&lt;Inputs!$B$46,Inputs!$B$29*(1+Inputs!$B$7)^($A27-Inputs!$B$44),0)</f>
        <v>0</v>
      </c>
      <c r="F27" s="16" t="n">
        <f aca="false">(Inputs!$B$18+Inputs!$B$20+2*Inputs!$B$21)*(1+Inputs!$B$5)^($A27-Inputs!$B$44)</f>
        <v>697021.219595241</v>
      </c>
      <c r="G27" s="16" t="n">
        <f aca="false">Inputs!$B$18*(1+Inputs!$B$5)^($A27-Inputs!$B$44)</f>
        <v>255868.548965342</v>
      </c>
      <c r="H27" s="16" t="n">
        <f aca="false">IF(D27=0,0,IF(MAX(D27-Inputs!$B$22-Tax!$B$4/2-F27,0)&gt;200000,Inputs!$B$24+(MAX(D27-Inputs!$B$22-Tax!$B$4/2-F27,0)-200000)*Inputs!$B$23,IF(MAX(D27-Inputs!$B$22-Tax!$B$4/2-F27,0)&gt;150000,9000+(MAX(D27-Inputs!$B$22-Tax!$B$4/2-F27,0)-150000)*0.14,IF(MAX(D27-Inputs!$B$22-Tax!$B$4/2-F27,0)&gt;100000,4000+(MAX(D27-Inputs!$B$22-Tax!$B$4/2-F27,0)-100000)*0.1,IF(MAX(D27-Inputs!$B$22-Tax!$B$4/2-F27,0)&gt;50000,1000+(MAX(D27-Inputs!$B$22-Tax!$B$4/2-F27,0)-50000)*0.06,MAX(MAX(D27-Inputs!$B$22-Tax!$B$4/2-F27,0),0)*0.02)))))</f>
        <v>0</v>
      </c>
      <c r="I27" s="16" t="n">
        <f aca="false">IF(E27=0,0,IF(MAX(E27-Inputs!$B$22-Tax!$B$4/2-G27,0)&gt;200000,Inputs!$B$24+(MAX(E27-Inputs!$B$22-Tax!$B$4/2-G27,0)-200000)*Inputs!$B$23,IF(MAX(E27-Inputs!$B$22-Tax!$B$4/2-G27,0)&gt;150000,9000+(MAX(E27-Inputs!$B$22-Tax!$B$4/2-G27,0)-150000)*0.14,IF(MAX(E27-Inputs!$B$22-Tax!$B$4/2-G27,0)&gt;100000,4000+(MAX(E27-Inputs!$B$22-Tax!$B$4/2-G27,0)-100000)*0.1,IF(MAX(E27-Inputs!$B$22-Tax!$B$4/2-G27,0)&gt;50000,1000+(MAX(E27-Inputs!$B$22-Tax!$B$4/2-G27,0)-50000)*0.06,MAX(MAX(E27-Inputs!$B$22-Tax!$B$4/2-G27,0),0)*0.02)))))</f>
        <v>0</v>
      </c>
      <c r="J27" s="16" t="n">
        <f aca="false">IF(D27&gt;0,Inputs!$B$22,0)+IF(E27&gt;0,Inputs!$B$22,0)</f>
        <v>0</v>
      </c>
      <c r="K27" s="16" t="n">
        <f aca="false">IF($A27&lt;Inputs!$B$45,Inputs!$B$31*(1+Inputs!$B$5)^($A27-Inputs!$B$44),0)</f>
        <v>0</v>
      </c>
      <c r="L27" s="16" t="n">
        <f aca="false">IF(AND($A27&gt;=Inputs!$B$47,$A27&lt;Inputs!$B$47+Inputs!$B$41),Inputs!$B$40*(1+Inputs!$B$8)^($A27-Inputs!$B$44),0)</f>
        <v>0</v>
      </c>
      <c r="M27" s="16" t="n">
        <f aca="false">IF($A27&gt;=Inputs!$B$45,Inputs!$B$32*(1+Inputs!$B$5)^($A27-Inputs!$B$44),0)</f>
        <v>1376396.33236529</v>
      </c>
      <c r="N27" s="16" t="n">
        <f aca="false">IF($A27&gt;=Inputs!$B$45,Inputs!$B$39,0)</f>
        <v>268000</v>
      </c>
      <c r="O27" s="16" t="n">
        <f aca="false">D27+E27-H27-I27-J27-K27-L27-M27+N27-Inputs!$B$42</f>
        <v>-1108396.33236529</v>
      </c>
      <c r="P27" s="16" t="n">
        <f aca="false">S26</f>
        <v>24817580.6332751</v>
      </c>
      <c r="Q27" s="16" t="n">
        <f aca="false">P27*Inputs!$B$35</f>
        <v>1191243.87039721</v>
      </c>
      <c r="R27" s="16" t="n">
        <f aca="false">IF($A27=Inputs!$B$45,-Inputs!$B$38,0)</f>
        <v>0</v>
      </c>
      <c r="S27" s="16" t="n">
        <f aca="false">MAX(P27+Q27+O27+R27,0)</f>
        <v>24900428.171307</v>
      </c>
    </row>
    <row r="28" customFormat="false" ht="15" hidden="false" customHeight="false" outlineLevel="0" collapsed="false">
      <c r="A28" s="19" t="n">
        <v>2050</v>
      </c>
      <c r="B28" s="19" t="n">
        <f aca="false">$A28-1972</f>
        <v>78</v>
      </c>
      <c r="C28" s="19" t="n">
        <f aca="false">$A28-1977</f>
        <v>73</v>
      </c>
      <c r="D28" s="16" t="n">
        <f aca="false">IF($A28&lt;Inputs!$B$45,(Inputs!$B$27+Inputs!$B$28)*(1+Inputs!$B$6)^($A28-Inputs!$B$44),0)</f>
        <v>0</v>
      </c>
      <c r="E28" s="16" t="n">
        <f aca="false">IF($A28&lt;Inputs!$B$46,Inputs!$B$29*(1+Inputs!$B$7)^($A28-Inputs!$B$44),0)</f>
        <v>0</v>
      </c>
      <c r="F28" s="16" t="n">
        <f aca="false">(Inputs!$B$18+Inputs!$B$20+2*Inputs!$B$21)*(1+Inputs!$B$5)^($A28-Inputs!$B$44)</f>
        <v>714446.750085122</v>
      </c>
      <c r="G28" s="16" t="n">
        <f aca="false">Inputs!$B$18*(1+Inputs!$B$5)^($A28-Inputs!$B$44)</f>
        <v>262265.262689475</v>
      </c>
      <c r="H28" s="16" t="n">
        <f aca="false">IF(D28=0,0,IF(MAX(D28-Inputs!$B$22-Tax!$B$4/2-F28,0)&gt;200000,Inputs!$B$24+(MAX(D28-Inputs!$B$22-Tax!$B$4/2-F28,0)-200000)*Inputs!$B$23,IF(MAX(D28-Inputs!$B$22-Tax!$B$4/2-F28,0)&gt;150000,9000+(MAX(D28-Inputs!$B$22-Tax!$B$4/2-F28,0)-150000)*0.14,IF(MAX(D28-Inputs!$B$22-Tax!$B$4/2-F28,0)&gt;100000,4000+(MAX(D28-Inputs!$B$22-Tax!$B$4/2-F28,0)-100000)*0.1,IF(MAX(D28-Inputs!$B$22-Tax!$B$4/2-F28,0)&gt;50000,1000+(MAX(D28-Inputs!$B$22-Tax!$B$4/2-F28,0)-50000)*0.06,MAX(MAX(D28-Inputs!$B$22-Tax!$B$4/2-F28,0),0)*0.02)))))</f>
        <v>0</v>
      </c>
      <c r="I28" s="16" t="n">
        <f aca="false">IF(E28=0,0,IF(MAX(E28-Inputs!$B$22-Tax!$B$4/2-G28,0)&gt;200000,Inputs!$B$24+(MAX(E28-Inputs!$B$22-Tax!$B$4/2-G28,0)-200000)*Inputs!$B$23,IF(MAX(E28-Inputs!$B$22-Tax!$B$4/2-G28,0)&gt;150000,9000+(MAX(E28-Inputs!$B$22-Tax!$B$4/2-G28,0)-150000)*0.14,IF(MAX(E28-Inputs!$B$22-Tax!$B$4/2-G28,0)&gt;100000,4000+(MAX(E28-Inputs!$B$22-Tax!$B$4/2-G28,0)-100000)*0.1,IF(MAX(E28-Inputs!$B$22-Tax!$B$4/2-G28,0)&gt;50000,1000+(MAX(E28-Inputs!$B$22-Tax!$B$4/2-G28,0)-50000)*0.06,MAX(MAX(E28-Inputs!$B$22-Tax!$B$4/2-G28,0),0)*0.02)))))</f>
        <v>0</v>
      </c>
      <c r="J28" s="16" t="n">
        <f aca="false">IF(D28&gt;0,Inputs!$B$22,0)+IF(E28&gt;0,Inputs!$B$22,0)</f>
        <v>0</v>
      </c>
      <c r="K28" s="16" t="n">
        <f aca="false">IF($A28&lt;Inputs!$B$45,Inputs!$B$31*(1+Inputs!$B$5)^($A28-Inputs!$B$44),0)</f>
        <v>0</v>
      </c>
      <c r="L28" s="16" t="n">
        <f aca="false">IF(AND($A28&gt;=Inputs!$B$47,$A28&lt;Inputs!$B$47+Inputs!$B$41),Inputs!$B$40*(1+Inputs!$B$8)^($A28-Inputs!$B$44),0)</f>
        <v>0</v>
      </c>
      <c r="M28" s="16" t="n">
        <f aca="false">IF($A28&gt;=Inputs!$B$45,Inputs!$B$32*(1+Inputs!$B$5)^($A28-Inputs!$B$44),0)</f>
        <v>1410806.24067442</v>
      </c>
      <c r="N28" s="16" t="n">
        <f aca="false">IF($A28&gt;=Inputs!$B$45,Inputs!$B$39,0)</f>
        <v>268000</v>
      </c>
      <c r="O28" s="16" t="n">
        <f aca="false">D28+E28-H28-I28-J28-K28-L28-M28+N28-Inputs!$B$42</f>
        <v>-1142806.24067442</v>
      </c>
      <c r="P28" s="16" t="n">
        <f aca="false">S27</f>
        <v>24900428.171307</v>
      </c>
      <c r="Q28" s="16" t="n">
        <f aca="false">P28*Inputs!$B$35</f>
        <v>1195220.55222274</v>
      </c>
      <c r="R28" s="16" t="n">
        <f aca="false">IF($A28=Inputs!$B$45,-Inputs!$B$38,0)</f>
        <v>0</v>
      </c>
      <c r="S28" s="16" t="n">
        <f aca="false">MAX(P28+Q28+O28+R28,0)</f>
        <v>24952842.4828553</v>
      </c>
    </row>
    <row r="29" customFormat="false" ht="15" hidden="false" customHeight="false" outlineLevel="0" collapsed="false">
      <c r="A29" s="19" t="n">
        <v>2051</v>
      </c>
      <c r="B29" s="19" t="n">
        <f aca="false">$A29-1972</f>
        <v>79</v>
      </c>
      <c r="C29" s="19" t="n">
        <f aca="false">$A29-1977</f>
        <v>74</v>
      </c>
      <c r="D29" s="16" t="n">
        <f aca="false">IF($A29&lt;Inputs!$B$45,(Inputs!$B$27+Inputs!$B$28)*(1+Inputs!$B$6)^($A29-Inputs!$B$44),0)</f>
        <v>0</v>
      </c>
      <c r="E29" s="16" t="n">
        <f aca="false">IF($A29&lt;Inputs!$B$46,Inputs!$B$29*(1+Inputs!$B$7)^($A29-Inputs!$B$44),0)</f>
        <v>0</v>
      </c>
      <c r="F29" s="16" t="n">
        <f aca="false">(Inputs!$B$18+Inputs!$B$20+2*Inputs!$B$21)*(1+Inputs!$B$5)^($A29-Inputs!$B$44)</f>
        <v>732307.91883725</v>
      </c>
      <c r="G29" s="16" t="n">
        <f aca="false">Inputs!$B$18*(1+Inputs!$B$5)^($A29-Inputs!$B$44)</f>
        <v>268821.894256712</v>
      </c>
      <c r="H29" s="16" t="n">
        <f aca="false">IF(D29=0,0,IF(MAX(D29-Inputs!$B$22-Tax!$B$4/2-F29,0)&gt;200000,Inputs!$B$24+(MAX(D29-Inputs!$B$22-Tax!$B$4/2-F29,0)-200000)*Inputs!$B$23,IF(MAX(D29-Inputs!$B$22-Tax!$B$4/2-F29,0)&gt;150000,9000+(MAX(D29-Inputs!$B$22-Tax!$B$4/2-F29,0)-150000)*0.14,IF(MAX(D29-Inputs!$B$22-Tax!$B$4/2-F29,0)&gt;100000,4000+(MAX(D29-Inputs!$B$22-Tax!$B$4/2-F29,0)-100000)*0.1,IF(MAX(D29-Inputs!$B$22-Tax!$B$4/2-F29,0)&gt;50000,1000+(MAX(D29-Inputs!$B$22-Tax!$B$4/2-F29,0)-50000)*0.06,MAX(MAX(D29-Inputs!$B$22-Tax!$B$4/2-F29,0),0)*0.02)))))</f>
        <v>0</v>
      </c>
      <c r="I29" s="16" t="n">
        <f aca="false">IF(E29=0,0,IF(MAX(E29-Inputs!$B$22-Tax!$B$4/2-G29,0)&gt;200000,Inputs!$B$24+(MAX(E29-Inputs!$B$22-Tax!$B$4/2-G29,0)-200000)*Inputs!$B$23,IF(MAX(E29-Inputs!$B$22-Tax!$B$4/2-G29,0)&gt;150000,9000+(MAX(E29-Inputs!$B$22-Tax!$B$4/2-G29,0)-150000)*0.14,IF(MAX(E29-Inputs!$B$22-Tax!$B$4/2-G29,0)&gt;100000,4000+(MAX(E29-Inputs!$B$22-Tax!$B$4/2-G29,0)-100000)*0.1,IF(MAX(E29-Inputs!$B$22-Tax!$B$4/2-G29,0)&gt;50000,1000+(MAX(E29-Inputs!$B$22-Tax!$B$4/2-G29,0)-50000)*0.06,MAX(MAX(E29-Inputs!$B$22-Tax!$B$4/2-G29,0),0)*0.02)))))</f>
        <v>0</v>
      </c>
      <c r="J29" s="16" t="n">
        <f aca="false">IF(D29&gt;0,Inputs!$B$22,0)+IF(E29&gt;0,Inputs!$B$22,0)</f>
        <v>0</v>
      </c>
      <c r="K29" s="16" t="n">
        <f aca="false">IF($A29&lt;Inputs!$B$45,Inputs!$B$31*(1+Inputs!$B$5)^($A29-Inputs!$B$44),0)</f>
        <v>0</v>
      </c>
      <c r="L29" s="16" t="n">
        <f aca="false">IF(AND($A29&gt;=Inputs!$B$47,$A29&lt;Inputs!$B$47+Inputs!$B$41),Inputs!$B$40*(1+Inputs!$B$8)^($A29-Inputs!$B$44),0)</f>
        <v>0</v>
      </c>
      <c r="M29" s="16" t="n">
        <f aca="false">IF($A29&gt;=Inputs!$B$45,Inputs!$B$32*(1+Inputs!$B$5)^($A29-Inputs!$B$44),0)</f>
        <v>1446076.39669128</v>
      </c>
      <c r="N29" s="16" t="n">
        <f aca="false">IF($A29&gt;=Inputs!$B$45,Inputs!$B$39,0)</f>
        <v>268000</v>
      </c>
      <c r="O29" s="16" t="n">
        <f aca="false">D29+E29-H29-I29-J29-K29-L29-M29+N29-Inputs!$B$42</f>
        <v>-1178076.39669128</v>
      </c>
      <c r="P29" s="16" t="n">
        <f aca="false">S28</f>
        <v>24952842.4828553</v>
      </c>
      <c r="Q29" s="16" t="n">
        <f aca="false">P29*Inputs!$B$35</f>
        <v>1197736.43917706</v>
      </c>
      <c r="R29" s="16" t="n">
        <f aca="false">IF($A29=Inputs!$B$45,-Inputs!$B$38,0)</f>
        <v>0</v>
      </c>
      <c r="S29" s="16" t="n">
        <f aca="false">MAX(P29+Q29+O29+R29,0)</f>
        <v>24972502.5253411</v>
      </c>
    </row>
    <row r="30" customFormat="false" ht="15" hidden="false" customHeight="false" outlineLevel="0" collapsed="false">
      <c r="A30" s="19" t="n">
        <v>2052</v>
      </c>
      <c r="B30" s="19" t="n">
        <f aca="false">$A30-1972</f>
        <v>80</v>
      </c>
      <c r="C30" s="19" t="n">
        <f aca="false">$A30-1977</f>
        <v>75</v>
      </c>
      <c r="D30" s="16" t="n">
        <f aca="false">IF($A30&lt;Inputs!$B$45,(Inputs!$B$27+Inputs!$B$28)*(1+Inputs!$B$6)^($A30-Inputs!$B$44),0)</f>
        <v>0</v>
      </c>
      <c r="E30" s="16" t="n">
        <f aca="false">IF($A30&lt;Inputs!$B$46,Inputs!$B$29*(1+Inputs!$B$7)^($A30-Inputs!$B$44),0)</f>
        <v>0</v>
      </c>
      <c r="F30" s="16" t="n">
        <f aca="false">(Inputs!$B$18+Inputs!$B$20+2*Inputs!$B$21)*(1+Inputs!$B$5)^($A30-Inputs!$B$44)</f>
        <v>750615.616808181</v>
      </c>
      <c r="G30" s="16" t="n">
        <f aca="false">Inputs!$B$18*(1+Inputs!$B$5)^($A30-Inputs!$B$44)</f>
        <v>275542.44161313</v>
      </c>
      <c r="H30" s="16" t="n">
        <f aca="false">IF(D30=0,0,IF(MAX(D30-Inputs!$B$22-Tax!$B$4/2-F30,0)&gt;200000,Inputs!$B$24+(MAX(D30-Inputs!$B$22-Tax!$B$4/2-F30,0)-200000)*Inputs!$B$23,IF(MAX(D30-Inputs!$B$22-Tax!$B$4/2-F30,0)&gt;150000,9000+(MAX(D30-Inputs!$B$22-Tax!$B$4/2-F30,0)-150000)*0.14,IF(MAX(D30-Inputs!$B$22-Tax!$B$4/2-F30,0)&gt;100000,4000+(MAX(D30-Inputs!$B$22-Tax!$B$4/2-F30,0)-100000)*0.1,IF(MAX(D30-Inputs!$B$22-Tax!$B$4/2-F30,0)&gt;50000,1000+(MAX(D30-Inputs!$B$22-Tax!$B$4/2-F30,0)-50000)*0.06,MAX(MAX(D30-Inputs!$B$22-Tax!$B$4/2-F30,0),0)*0.02)))))</f>
        <v>0</v>
      </c>
      <c r="I30" s="16" t="n">
        <f aca="false">IF(E30=0,0,IF(MAX(E30-Inputs!$B$22-Tax!$B$4/2-G30,0)&gt;200000,Inputs!$B$24+(MAX(E30-Inputs!$B$22-Tax!$B$4/2-G30,0)-200000)*Inputs!$B$23,IF(MAX(E30-Inputs!$B$22-Tax!$B$4/2-G30,0)&gt;150000,9000+(MAX(E30-Inputs!$B$22-Tax!$B$4/2-G30,0)-150000)*0.14,IF(MAX(E30-Inputs!$B$22-Tax!$B$4/2-G30,0)&gt;100000,4000+(MAX(E30-Inputs!$B$22-Tax!$B$4/2-G30,0)-100000)*0.1,IF(MAX(E30-Inputs!$B$22-Tax!$B$4/2-G30,0)&gt;50000,1000+(MAX(E30-Inputs!$B$22-Tax!$B$4/2-G30,0)-50000)*0.06,MAX(MAX(E30-Inputs!$B$22-Tax!$B$4/2-G30,0),0)*0.02)))))</f>
        <v>0</v>
      </c>
      <c r="J30" s="16" t="n">
        <f aca="false">IF(D30&gt;0,Inputs!$B$22,0)+IF(E30&gt;0,Inputs!$B$22,0)</f>
        <v>0</v>
      </c>
      <c r="K30" s="16" t="n">
        <f aca="false">IF($A30&lt;Inputs!$B$45,Inputs!$B$31*(1+Inputs!$B$5)^($A30-Inputs!$B$44),0)</f>
        <v>0</v>
      </c>
      <c r="L30" s="16" t="n">
        <f aca="false">IF(AND($A30&gt;=Inputs!$B$47,$A30&lt;Inputs!$B$47+Inputs!$B$41),Inputs!$B$40*(1+Inputs!$B$8)^($A30-Inputs!$B$44),0)</f>
        <v>0</v>
      </c>
      <c r="M30" s="16" t="n">
        <f aca="false">IF($A30&gt;=Inputs!$B$45,Inputs!$B$32*(1+Inputs!$B$5)^($A30-Inputs!$B$44),0)</f>
        <v>1482228.30660856</v>
      </c>
      <c r="N30" s="16" t="n">
        <f aca="false">IF($A30&gt;=Inputs!$B$45,Inputs!$B$39,0)</f>
        <v>268000</v>
      </c>
      <c r="O30" s="16" t="n">
        <f aca="false">D30+E30-H30-I30-J30-K30-L30-M30+N30-Inputs!$B$42</f>
        <v>-1214228.30660856</v>
      </c>
      <c r="P30" s="16" t="n">
        <f aca="false">S29</f>
        <v>24972502.5253411</v>
      </c>
      <c r="Q30" s="16" t="n">
        <f aca="false">P30*Inputs!$B$35</f>
        <v>1198680.12121637</v>
      </c>
      <c r="R30" s="16" t="n">
        <f aca="false">IF($A30=Inputs!$B$45,-Inputs!$B$38,0)</f>
        <v>0</v>
      </c>
      <c r="S30" s="16" t="n">
        <f aca="false">MAX(P30+Q30+O30+R30,0)</f>
        <v>24956954.3399489</v>
      </c>
    </row>
    <row r="31" customFormat="false" ht="15" hidden="false" customHeight="false" outlineLevel="0" collapsed="false">
      <c r="A31" s="19" t="n">
        <v>2053</v>
      </c>
      <c r="B31" s="19" t="n">
        <f aca="false">$A31-1972</f>
        <v>81</v>
      </c>
      <c r="C31" s="19" t="n">
        <f aca="false">$A31-1977</f>
        <v>76</v>
      </c>
      <c r="D31" s="16" t="n">
        <f aca="false">IF($A31&lt;Inputs!$B$45,(Inputs!$B$27+Inputs!$B$28)*(1+Inputs!$B$6)^($A31-Inputs!$B$44),0)</f>
        <v>0</v>
      </c>
      <c r="E31" s="16" t="n">
        <f aca="false">IF($A31&lt;Inputs!$B$46,Inputs!$B$29*(1+Inputs!$B$7)^($A31-Inputs!$B$44),0)</f>
        <v>0</v>
      </c>
      <c r="F31" s="16" t="n">
        <f aca="false">(Inputs!$B$18+Inputs!$B$20+2*Inputs!$B$21)*(1+Inputs!$B$5)^($A31-Inputs!$B$44)</f>
        <v>769381.007228386</v>
      </c>
      <c r="G31" s="16" t="n">
        <f aca="false">Inputs!$B$18*(1+Inputs!$B$5)^($A31-Inputs!$B$44)</f>
        <v>282431.002653458</v>
      </c>
      <c r="H31" s="16" t="n">
        <f aca="false">IF(D31=0,0,IF(MAX(D31-Inputs!$B$22-Tax!$B$4/2-F31,0)&gt;200000,Inputs!$B$24+(MAX(D31-Inputs!$B$22-Tax!$B$4/2-F31,0)-200000)*Inputs!$B$23,IF(MAX(D31-Inputs!$B$22-Tax!$B$4/2-F31,0)&gt;150000,9000+(MAX(D31-Inputs!$B$22-Tax!$B$4/2-F31,0)-150000)*0.14,IF(MAX(D31-Inputs!$B$22-Tax!$B$4/2-F31,0)&gt;100000,4000+(MAX(D31-Inputs!$B$22-Tax!$B$4/2-F31,0)-100000)*0.1,IF(MAX(D31-Inputs!$B$22-Tax!$B$4/2-F31,0)&gt;50000,1000+(MAX(D31-Inputs!$B$22-Tax!$B$4/2-F31,0)-50000)*0.06,MAX(MAX(D31-Inputs!$B$22-Tax!$B$4/2-F31,0),0)*0.02)))))</f>
        <v>0</v>
      </c>
      <c r="I31" s="16" t="n">
        <f aca="false">IF(E31=0,0,IF(MAX(E31-Inputs!$B$22-Tax!$B$4/2-G31,0)&gt;200000,Inputs!$B$24+(MAX(E31-Inputs!$B$22-Tax!$B$4/2-G31,0)-200000)*Inputs!$B$23,IF(MAX(E31-Inputs!$B$22-Tax!$B$4/2-G31,0)&gt;150000,9000+(MAX(E31-Inputs!$B$22-Tax!$B$4/2-G31,0)-150000)*0.14,IF(MAX(E31-Inputs!$B$22-Tax!$B$4/2-G31,0)&gt;100000,4000+(MAX(E31-Inputs!$B$22-Tax!$B$4/2-G31,0)-100000)*0.1,IF(MAX(E31-Inputs!$B$22-Tax!$B$4/2-G31,0)&gt;50000,1000+(MAX(E31-Inputs!$B$22-Tax!$B$4/2-G31,0)-50000)*0.06,MAX(MAX(E31-Inputs!$B$22-Tax!$B$4/2-G31,0),0)*0.02)))))</f>
        <v>0</v>
      </c>
      <c r="J31" s="16" t="n">
        <f aca="false">IF(D31&gt;0,Inputs!$B$22,0)+IF(E31&gt;0,Inputs!$B$22,0)</f>
        <v>0</v>
      </c>
      <c r="K31" s="16" t="n">
        <f aca="false">IF($A31&lt;Inputs!$B$45,Inputs!$B$31*(1+Inputs!$B$5)^($A31-Inputs!$B$44),0)</f>
        <v>0</v>
      </c>
      <c r="L31" s="16" t="n">
        <f aca="false">IF(AND($A31&gt;=Inputs!$B$47,$A31&lt;Inputs!$B$47+Inputs!$B$41),Inputs!$B$40*(1+Inputs!$B$8)^($A31-Inputs!$B$44),0)</f>
        <v>0</v>
      </c>
      <c r="M31" s="16" t="n">
        <f aca="false">IF($A31&gt;=Inputs!$B$45,Inputs!$B$32*(1+Inputs!$B$5)^($A31-Inputs!$B$44),0)</f>
        <v>1519284.01427377</v>
      </c>
      <c r="N31" s="16" t="n">
        <f aca="false">IF($A31&gt;=Inputs!$B$45,Inputs!$B$39,0)</f>
        <v>268000</v>
      </c>
      <c r="O31" s="16" t="n">
        <f aca="false">D31+E31-H31-I31-J31-K31-L31-M31+N31-Inputs!$B$42</f>
        <v>-1251284.01427377</v>
      </c>
      <c r="P31" s="16" t="n">
        <f aca="false">S30</f>
        <v>24956954.3399489</v>
      </c>
      <c r="Q31" s="16" t="n">
        <f aca="false">P31*Inputs!$B$35</f>
        <v>1197933.80831755</v>
      </c>
      <c r="R31" s="16" t="n">
        <f aca="false">IF($A31=Inputs!$B$45,-Inputs!$B$38,0)</f>
        <v>0</v>
      </c>
      <c r="S31" s="16" t="n">
        <f aca="false">MAX(P31+Q31+O31+R31,0)</f>
        <v>24903604.1339927</v>
      </c>
    </row>
    <row r="32" customFormat="false" ht="15" hidden="false" customHeight="false" outlineLevel="0" collapsed="false">
      <c r="A32" s="19" t="n">
        <v>2054</v>
      </c>
      <c r="B32" s="19" t="n">
        <f aca="false">$A32-1972</f>
        <v>82</v>
      </c>
      <c r="C32" s="19" t="n">
        <f aca="false">$A32-1977</f>
        <v>77</v>
      </c>
      <c r="D32" s="16" t="n">
        <f aca="false">IF($A32&lt;Inputs!$B$45,(Inputs!$B$27+Inputs!$B$28)*(1+Inputs!$B$6)^($A32-Inputs!$B$44),0)</f>
        <v>0</v>
      </c>
      <c r="E32" s="16" t="n">
        <f aca="false">IF($A32&lt;Inputs!$B$46,Inputs!$B$29*(1+Inputs!$B$7)^($A32-Inputs!$B$44),0)</f>
        <v>0</v>
      </c>
      <c r="F32" s="16" t="n">
        <f aca="false">(Inputs!$B$18+Inputs!$B$20+2*Inputs!$B$21)*(1+Inputs!$B$5)^($A32-Inputs!$B$44)</f>
        <v>788615.532409095</v>
      </c>
      <c r="G32" s="16" t="n">
        <f aca="false">Inputs!$B$18*(1+Inputs!$B$5)^($A32-Inputs!$B$44)</f>
        <v>289491.777719794</v>
      </c>
      <c r="H32" s="16" t="n">
        <f aca="false">IF(D32=0,0,IF(MAX(D32-Inputs!$B$22-Tax!$B$4/2-F32,0)&gt;200000,Inputs!$B$24+(MAX(D32-Inputs!$B$22-Tax!$B$4/2-F32,0)-200000)*Inputs!$B$23,IF(MAX(D32-Inputs!$B$22-Tax!$B$4/2-F32,0)&gt;150000,9000+(MAX(D32-Inputs!$B$22-Tax!$B$4/2-F32,0)-150000)*0.14,IF(MAX(D32-Inputs!$B$22-Tax!$B$4/2-F32,0)&gt;100000,4000+(MAX(D32-Inputs!$B$22-Tax!$B$4/2-F32,0)-100000)*0.1,IF(MAX(D32-Inputs!$B$22-Tax!$B$4/2-F32,0)&gt;50000,1000+(MAX(D32-Inputs!$B$22-Tax!$B$4/2-F32,0)-50000)*0.06,MAX(MAX(D32-Inputs!$B$22-Tax!$B$4/2-F32,0),0)*0.02)))))</f>
        <v>0</v>
      </c>
      <c r="I32" s="16" t="n">
        <f aca="false">IF(E32=0,0,IF(MAX(E32-Inputs!$B$22-Tax!$B$4/2-G32,0)&gt;200000,Inputs!$B$24+(MAX(E32-Inputs!$B$22-Tax!$B$4/2-G32,0)-200000)*Inputs!$B$23,IF(MAX(E32-Inputs!$B$22-Tax!$B$4/2-G32,0)&gt;150000,9000+(MAX(E32-Inputs!$B$22-Tax!$B$4/2-G32,0)-150000)*0.14,IF(MAX(E32-Inputs!$B$22-Tax!$B$4/2-G32,0)&gt;100000,4000+(MAX(E32-Inputs!$B$22-Tax!$B$4/2-G32,0)-100000)*0.1,IF(MAX(E32-Inputs!$B$22-Tax!$B$4/2-G32,0)&gt;50000,1000+(MAX(E32-Inputs!$B$22-Tax!$B$4/2-G32,0)-50000)*0.06,MAX(MAX(E32-Inputs!$B$22-Tax!$B$4/2-G32,0),0)*0.02)))))</f>
        <v>0</v>
      </c>
      <c r="J32" s="16" t="n">
        <f aca="false">IF(D32&gt;0,Inputs!$B$22,0)+IF(E32&gt;0,Inputs!$B$22,0)</f>
        <v>0</v>
      </c>
      <c r="K32" s="16" t="n">
        <f aca="false">IF($A32&lt;Inputs!$B$45,Inputs!$B$31*(1+Inputs!$B$5)^($A32-Inputs!$B$44),0)</f>
        <v>0</v>
      </c>
      <c r="L32" s="16" t="n">
        <f aca="false">IF(AND($A32&gt;=Inputs!$B$47,$A32&lt;Inputs!$B$47+Inputs!$B$41),Inputs!$B$40*(1+Inputs!$B$8)^($A32-Inputs!$B$44),0)</f>
        <v>0</v>
      </c>
      <c r="M32" s="16" t="n">
        <f aca="false">IF($A32&gt;=Inputs!$B$45,Inputs!$B$32*(1+Inputs!$B$5)^($A32-Inputs!$B$44),0)</f>
        <v>1557266.11463062</v>
      </c>
      <c r="N32" s="16" t="n">
        <f aca="false">IF($A32&gt;=Inputs!$B$45,Inputs!$B$39,0)</f>
        <v>268000</v>
      </c>
      <c r="O32" s="16" t="n">
        <f aca="false">D32+E32-H32-I32-J32-K32-L32-M32+N32-Inputs!$B$42</f>
        <v>-1289266.11463062</v>
      </c>
      <c r="P32" s="16" t="n">
        <f aca="false">S31</f>
        <v>24903604.1339927</v>
      </c>
      <c r="Q32" s="16" t="n">
        <f aca="false">P32*Inputs!$B$35</f>
        <v>1195372.99843165</v>
      </c>
      <c r="R32" s="16" t="n">
        <f aca="false">IF($A32=Inputs!$B$45,-Inputs!$B$38,0)</f>
        <v>0</v>
      </c>
      <c r="S32" s="16" t="n">
        <f aca="false">MAX(P32+Q32+O32+R32,0)</f>
        <v>24809711.0177937</v>
      </c>
    </row>
    <row r="33" customFormat="false" ht="15" hidden="false" customHeight="false" outlineLevel="0" collapsed="false">
      <c r="A33" s="19" t="n">
        <v>2055</v>
      </c>
      <c r="B33" s="19" t="n">
        <f aca="false">$A33-1972</f>
        <v>83</v>
      </c>
      <c r="C33" s="19" t="n">
        <f aca="false">$A33-1977</f>
        <v>78</v>
      </c>
      <c r="D33" s="16" t="n">
        <f aca="false">IF($A33&lt;Inputs!$B$45,(Inputs!$B$27+Inputs!$B$28)*(1+Inputs!$B$6)^($A33-Inputs!$B$44),0)</f>
        <v>0</v>
      </c>
      <c r="E33" s="16" t="n">
        <f aca="false">IF($A33&lt;Inputs!$B$46,Inputs!$B$29*(1+Inputs!$B$7)^($A33-Inputs!$B$44),0)</f>
        <v>0</v>
      </c>
      <c r="F33" s="16" t="n">
        <f aca="false">(Inputs!$B$18+Inputs!$B$20+2*Inputs!$B$21)*(1+Inputs!$B$5)^($A33-Inputs!$B$44)</f>
        <v>808330.920719323</v>
      </c>
      <c r="G33" s="16" t="n">
        <f aca="false">Inputs!$B$18*(1+Inputs!$B$5)^($A33-Inputs!$B$44)</f>
        <v>296729.072162789</v>
      </c>
      <c r="H33" s="16" t="n">
        <f aca="false">IF(D33=0,0,IF(MAX(D33-Inputs!$B$22-Tax!$B$4/2-F33,0)&gt;200000,Inputs!$B$24+(MAX(D33-Inputs!$B$22-Tax!$B$4/2-F33,0)-200000)*Inputs!$B$23,IF(MAX(D33-Inputs!$B$22-Tax!$B$4/2-F33,0)&gt;150000,9000+(MAX(D33-Inputs!$B$22-Tax!$B$4/2-F33,0)-150000)*0.14,IF(MAX(D33-Inputs!$B$22-Tax!$B$4/2-F33,0)&gt;100000,4000+(MAX(D33-Inputs!$B$22-Tax!$B$4/2-F33,0)-100000)*0.1,IF(MAX(D33-Inputs!$B$22-Tax!$B$4/2-F33,0)&gt;50000,1000+(MAX(D33-Inputs!$B$22-Tax!$B$4/2-F33,0)-50000)*0.06,MAX(MAX(D33-Inputs!$B$22-Tax!$B$4/2-F33,0),0)*0.02)))))</f>
        <v>0</v>
      </c>
      <c r="I33" s="16" t="n">
        <f aca="false">IF(E33=0,0,IF(MAX(E33-Inputs!$B$22-Tax!$B$4/2-G33,0)&gt;200000,Inputs!$B$24+(MAX(E33-Inputs!$B$22-Tax!$B$4/2-G33,0)-200000)*Inputs!$B$23,IF(MAX(E33-Inputs!$B$22-Tax!$B$4/2-G33,0)&gt;150000,9000+(MAX(E33-Inputs!$B$22-Tax!$B$4/2-G33,0)-150000)*0.14,IF(MAX(E33-Inputs!$B$22-Tax!$B$4/2-G33,0)&gt;100000,4000+(MAX(E33-Inputs!$B$22-Tax!$B$4/2-G33,0)-100000)*0.1,IF(MAX(E33-Inputs!$B$22-Tax!$B$4/2-G33,0)&gt;50000,1000+(MAX(E33-Inputs!$B$22-Tax!$B$4/2-G33,0)-50000)*0.06,MAX(MAX(E33-Inputs!$B$22-Tax!$B$4/2-G33,0),0)*0.02)))))</f>
        <v>0</v>
      </c>
      <c r="J33" s="16" t="n">
        <f aca="false">IF(D33&gt;0,Inputs!$B$22,0)+IF(E33&gt;0,Inputs!$B$22,0)</f>
        <v>0</v>
      </c>
      <c r="K33" s="16" t="n">
        <f aca="false">IF($A33&lt;Inputs!$B$45,Inputs!$B$31*(1+Inputs!$B$5)^($A33-Inputs!$B$44),0)</f>
        <v>0</v>
      </c>
      <c r="L33" s="16" t="n">
        <f aca="false">IF(AND($A33&gt;=Inputs!$B$47,$A33&lt;Inputs!$B$47+Inputs!$B$41),Inputs!$B$40*(1+Inputs!$B$8)^($A33-Inputs!$B$44),0)</f>
        <v>0</v>
      </c>
      <c r="M33" s="16" t="n">
        <f aca="false">IF($A33&gt;=Inputs!$B$45,Inputs!$B$32*(1+Inputs!$B$5)^($A33-Inputs!$B$44),0)</f>
        <v>1596197.76749638</v>
      </c>
      <c r="N33" s="16" t="n">
        <f aca="false">IF($A33&gt;=Inputs!$B$45,Inputs!$B$39,0)</f>
        <v>268000</v>
      </c>
      <c r="O33" s="16" t="n">
        <f aca="false">D33+E33-H33-I33-J33-K33-L33-M33+N33-Inputs!$B$42</f>
        <v>-1328197.76749638</v>
      </c>
      <c r="P33" s="16" t="n">
        <f aca="false">S32</f>
        <v>24809711.0177937</v>
      </c>
      <c r="Q33" s="16" t="n">
        <f aca="false">P33*Inputs!$B$35</f>
        <v>1190866.1288541</v>
      </c>
      <c r="R33" s="16" t="n">
        <f aca="false">IF($A33=Inputs!$B$45,-Inputs!$B$38,0)</f>
        <v>0</v>
      </c>
      <c r="S33" s="16" t="n">
        <f aca="false">MAX(P33+Q33+O33+R33,0)</f>
        <v>24672379.3791515</v>
      </c>
    </row>
    <row r="34" customFormat="false" ht="15" hidden="false" customHeight="false" outlineLevel="0" collapsed="false">
      <c r="A34" s="19" t="n">
        <v>2056</v>
      </c>
      <c r="B34" s="19" t="n">
        <f aca="false">$A34-1972</f>
        <v>84</v>
      </c>
      <c r="C34" s="19" t="n">
        <f aca="false">$A34-1977</f>
        <v>79</v>
      </c>
      <c r="D34" s="16" t="n">
        <f aca="false">IF($A34&lt;Inputs!$B$45,(Inputs!$B$27+Inputs!$B$28)*(1+Inputs!$B$6)^($A34-Inputs!$B$44),0)</f>
        <v>0</v>
      </c>
      <c r="E34" s="16" t="n">
        <f aca="false">IF($A34&lt;Inputs!$B$46,Inputs!$B$29*(1+Inputs!$B$7)^($A34-Inputs!$B$44),0)</f>
        <v>0</v>
      </c>
      <c r="F34" s="16" t="n">
        <f aca="false">(Inputs!$B$18+Inputs!$B$20+2*Inputs!$B$21)*(1+Inputs!$B$5)^($A34-Inputs!$B$44)</f>
        <v>828539.193737305</v>
      </c>
      <c r="G34" s="16" t="n">
        <f aca="false">Inputs!$B$18*(1+Inputs!$B$5)^($A34-Inputs!$B$44)</f>
        <v>304147.298966859</v>
      </c>
      <c r="H34" s="16" t="n">
        <f aca="false">IF(D34=0,0,IF(MAX(D34-Inputs!$B$22-Tax!$B$4/2-F34,0)&gt;200000,Inputs!$B$24+(MAX(D34-Inputs!$B$22-Tax!$B$4/2-F34,0)-200000)*Inputs!$B$23,IF(MAX(D34-Inputs!$B$22-Tax!$B$4/2-F34,0)&gt;150000,9000+(MAX(D34-Inputs!$B$22-Tax!$B$4/2-F34,0)-150000)*0.14,IF(MAX(D34-Inputs!$B$22-Tax!$B$4/2-F34,0)&gt;100000,4000+(MAX(D34-Inputs!$B$22-Tax!$B$4/2-F34,0)-100000)*0.1,IF(MAX(D34-Inputs!$B$22-Tax!$B$4/2-F34,0)&gt;50000,1000+(MAX(D34-Inputs!$B$22-Tax!$B$4/2-F34,0)-50000)*0.06,MAX(MAX(D34-Inputs!$B$22-Tax!$B$4/2-F34,0),0)*0.02)))))</f>
        <v>0</v>
      </c>
      <c r="I34" s="16" t="n">
        <f aca="false">IF(E34=0,0,IF(MAX(E34-Inputs!$B$22-Tax!$B$4/2-G34,0)&gt;200000,Inputs!$B$24+(MAX(E34-Inputs!$B$22-Tax!$B$4/2-G34,0)-200000)*Inputs!$B$23,IF(MAX(E34-Inputs!$B$22-Tax!$B$4/2-G34,0)&gt;150000,9000+(MAX(E34-Inputs!$B$22-Tax!$B$4/2-G34,0)-150000)*0.14,IF(MAX(E34-Inputs!$B$22-Tax!$B$4/2-G34,0)&gt;100000,4000+(MAX(E34-Inputs!$B$22-Tax!$B$4/2-G34,0)-100000)*0.1,IF(MAX(E34-Inputs!$B$22-Tax!$B$4/2-G34,0)&gt;50000,1000+(MAX(E34-Inputs!$B$22-Tax!$B$4/2-G34,0)-50000)*0.06,MAX(MAX(E34-Inputs!$B$22-Tax!$B$4/2-G34,0),0)*0.02)))))</f>
        <v>0</v>
      </c>
      <c r="J34" s="16" t="n">
        <f aca="false">IF(D34&gt;0,Inputs!$B$22,0)+IF(E34&gt;0,Inputs!$B$22,0)</f>
        <v>0</v>
      </c>
      <c r="K34" s="16" t="n">
        <f aca="false">IF($A34&lt;Inputs!$B$45,Inputs!$B$31*(1+Inputs!$B$5)^($A34-Inputs!$B$44),0)</f>
        <v>0</v>
      </c>
      <c r="L34" s="16" t="n">
        <f aca="false">IF(AND($A34&gt;=Inputs!$B$47,$A34&lt;Inputs!$B$47+Inputs!$B$41),Inputs!$B$40*(1+Inputs!$B$8)^($A34-Inputs!$B$44),0)</f>
        <v>0</v>
      </c>
      <c r="M34" s="16" t="n">
        <f aca="false">IF($A34&gt;=Inputs!$B$45,Inputs!$B$32*(1+Inputs!$B$5)^($A34-Inputs!$B$44),0)</f>
        <v>1636102.71168379</v>
      </c>
      <c r="N34" s="16" t="n">
        <f aca="false">IF($A34&gt;=Inputs!$B$45,Inputs!$B$39,0)</f>
        <v>268000</v>
      </c>
      <c r="O34" s="16" t="n">
        <f aca="false">D34+E34-H34-I34-J34-K34-L34-M34+N34-Inputs!$B$42</f>
        <v>-1368102.71168379</v>
      </c>
      <c r="P34" s="16" t="n">
        <f aca="false">S33</f>
        <v>24672379.3791515</v>
      </c>
      <c r="Q34" s="16" t="n">
        <f aca="false">P34*Inputs!$B$35</f>
        <v>1184274.21019927</v>
      </c>
      <c r="R34" s="16" t="n">
        <f aca="false">IF($A34=Inputs!$B$45,-Inputs!$B$38,0)</f>
        <v>0</v>
      </c>
      <c r="S34" s="16" t="n">
        <f aca="false">MAX(P34+Q34+O34+R34,0)</f>
        <v>24488550.8776669</v>
      </c>
    </row>
    <row r="35" customFormat="false" ht="15" hidden="false" customHeight="false" outlineLevel="0" collapsed="false">
      <c r="A35" s="19" t="n">
        <v>2057</v>
      </c>
      <c r="B35" s="19" t="n">
        <f aca="false">$A35-1972</f>
        <v>85</v>
      </c>
      <c r="C35" s="19" t="n">
        <f aca="false">$A35-1977</f>
        <v>80</v>
      </c>
      <c r="D35" s="16" t="n">
        <f aca="false">IF($A35&lt;Inputs!$B$45,(Inputs!$B$27+Inputs!$B$28)*(1+Inputs!$B$6)^($A35-Inputs!$B$44),0)</f>
        <v>0</v>
      </c>
      <c r="E35" s="16" t="n">
        <f aca="false">IF($A35&lt;Inputs!$B$46,Inputs!$B$29*(1+Inputs!$B$7)^($A35-Inputs!$B$44),0)</f>
        <v>0</v>
      </c>
      <c r="F35" s="16" t="n">
        <f aca="false">(Inputs!$B$18+Inputs!$B$20+2*Inputs!$B$21)*(1+Inputs!$B$5)^($A35-Inputs!$B$44)</f>
        <v>849252.673580738</v>
      </c>
      <c r="G35" s="16" t="n">
        <f aca="false">Inputs!$B$18*(1+Inputs!$B$5)^($A35-Inputs!$B$44)</f>
        <v>311750.98144103</v>
      </c>
      <c r="H35" s="16" t="n">
        <f aca="false">IF(D35=0,0,IF(MAX(D35-Inputs!$B$22-Tax!$B$4/2-F35,0)&gt;200000,Inputs!$B$24+(MAX(D35-Inputs!$B$22-Tax!$B$4/2-F35,0)-200000)*Inputs!$B$23,IF(MAX(D35-Inputs!$B$22-Tax!$B$4/2-F35,0)&gt;150000,9000+(MAX(D35-Inputs!$B$22-Tax!$B$4/2-F35,0)-150000)*0.14,IF(MAX(D35-Inputs!$B$22-Tax!$B$4/2-F35,0)&gt;100000,4000+(MAX(D35-Inputs!$B$22-Tax!$B$4/2-F35,0)-100000)*0.1,IF(MAX(D35-Inputs!$B$22-Tax!$B$4/2-F35,0)&gt;50000,1000+(MAX(D35-Inputs!$B$22-Tax!$B$4/2-F35,0)-50000)*0.06,MAX(MAX(D35-Inputs!$B$22-Tax!$B$4/2-F35,0),0)*0.02)))))</f>
        <v>0</v>
      </c>
      <c r="I35" s="16" t="n">
        <f aca="false">IF(E35=0,0,IF(MAX(E35-Inputs!$B$22-Tax!$B$4/2-G35,0)&gt;200000,Inputs!$B$24+(MAX(E35-Inputs!$B$22-Tax!$B$4/2-G35,0)-200000)*Inputs!$B$23,IF(MAX(E35-Inputs!$B$22-Tax!$B$4/2-G35,0)&gt;150000,9000+(MAX(E35-Inputs!$B$22-Tax!$B$4/2-G35,0)-150000)*0.14,IF(MAX(E35-Inputs!$B$22-Tax!$B$4/2-G35,0)&gt;100000,4000+(MAX(E35-Inputs!$B$22-Tax!$B$4/2-G35,0)-100000)*0.1,IF(MAX(E35-Inputs!$B$22-Tax!$B$4/2-G35,0)&gt;50000,1000+(MAX(E35-Inputs!$B$22-Tax!$B$4/2-G35,0)-50000)*0.06,MAX(MAX(E35-Inputs!$B$22-Tax!$B$4/2-G35,0),0)*0.02)))))</f>
        <v>0</v>
      </c>
      <c r="J35" s="16" t="n">
        <f aca="false">IF(D35&gt;0,Inputs!$B$22,0)+IF(E35&gt;0,Inputs!$B$22,0)</f>
        <v>0</v>
      </c>
      <c r="K35" s="16" t="n">
        <f aca="false">IF($A35&lt;Inputs!$B$45,Inputs!$B$31*(1+Inputs!$B$5)^($A35-Inputs!$B$44),0)</f>
        <v>0</v>
      </c>
      <c r="L35" s="16" t="n">
        <f aca="false">IF(AND($A35&gt;=Inputs!$B$47,$A35&lt;Inputs!$B$47+Inputs!$B$41),Inputs!$B$40*(1+Inputs!$B$8)^($A35-Inputs!$B$44),0)</f>
        <v>0</v>
      </c>
      <c r="M35" s="16" t="n">
        <f aca="false">IF($A35&gt;=Inputs!$B$45,Inputs!$B$32*(1+Inputs!$B$5)^($A35-Inputs!$B$44),0)</f>
        <v>1677005.27947589</v>
      </c>
      <c r="N35" s="16" t="n">
        <f aca="false">IF($A35&gt;=Inputs!$B$45,Inputs!$B$39,0)</f>
        <v>268000</v>
      </c>
      <c r="O35" s="16" t="n">
        <f aca="false">D35+E35-H35-I35-J35-K35-L35-M35+N35-Inputs!$B$42</f>
        <v>-1409005.27947589</v>
      </c>
      <c r="P35" s="16" t="n">
        <f aca="false">S34</f>
        <v>24488550.8776669</v>
      </c>
      <c r="Q35" s="16" t="n">
        <f aca="false">P35*Inputs!$B$35</f>
        <v>1175450.44212801</v>
      </c>
      <c r="R35" s="16" t="n">
        <f aca="false">IF($A35=Inputs!$B$45,-Inputs!$B$38,0)</f>
        <v>0</v>
      </c>
      <c r="S35" s="16" t="n">
        <f aca="false">MAX(P35+Q35+O35+R35,0)</f>
        <v>24254996.0403191</v>
      </c>
    </row>
    <row r="36" customFormat="false" ht="15" hidden="false" customHeight="false" outlineLevel="0" collapsed="false">
      <c r="A36" s="19" t="n">
        <v>2058</v>
      </c>
      <c r="B36" s="19" t="n">
        <f aca="false">$A36-1972</f>
        <v>86</v>
      </c>
      <c r="C36" s="19" t="n">
        <f aca="false">$A36-1977</f>
        <v>81</v>
      </c>
      <c r="D36" s="16" t="n">
        <f aca="false">IF($A36&lt;Inputs!$B$45,(Inputs!$B$27+Inputs!$B$28)*(1+Inputs!$B$6)^($A36-Inputs!$B$44),0)</f>
        <v>0</v>
      </c>
      <c r="E36" s="16" t="n">
        <f aca="false">IF($A36&lt;Inputs!$B$46,Inputs!$B$29*(1+Inputs!$B$7)^($A36-Inputs!$B$44),0)</f>
        <v>0</v>
      </c>
      <c r="F36" s="16" t="n">
        <f aca="false">(Inputs!$B$18+Inputs!$B$20+2*Inputs!$B$21)*(1+Inputs!$B$5)^($A36-Inputs!$B$44)</f>
        <v>870483.990420256</v>
      </c>
      <c r="G36" s="16" t="n">
        <f aca="false">Inputs!$B$18*(1+Inputs!$B$5)^($A36-Inputs!$B$44)</f>
        <v>319544.755977056</v>
      </c>
      <c r="H36" s="16" t="n">
        <f aca="false">IF(D36=0,0,IF(MAX(D36-Inputs!$B$22-Tax!$B$4/2-F36,0)&gt;200000,Inputs!$B$24+(MAX(D36-Inputs!$B$22-Tax!$B$4/2-F36,0)-200000)*Inputs!$B$23,IF(MAX(D36-Inputs!$B$22-Tax!$B$4/2-F36,0)&gt;150000,9000+(MAX(D36-Inputs!$B$22-Tax!$B$4/2-F36,0)-150000)*0.14,IF(MAX(D36-Inputs!$B$22-Tax!$B$4/2-F36,0)&gt;100000,4000+(MAX(D36-Inputs!$B$22-Tax!$B$4/2-F36,0)-100000)*0.1,IF(MAX(D36-Inputs!$B$22-Tax!$B$4/2-F36,0)&gt;50000,1000+(MAX(D36-Inputs!$B$22-Tax!$B$4/2-F36,0)-50000)*0.06,MAX(MAX(D36-Inputs!$B$22-Tax!$B$4/2-F36,0),0)*0.02)))))</f>
        <v>0</v>
      </c>
      <c r="I36" s="16" t="n">
        <f aca="false">IF(E36=0,0,IF(MAX(E36-Inputs!$B$22-Tax!$B$4/2-G36,0)&gt;200000,Inputs!$B$24+(MAX(E36-Inputs!$B$22-Tax!$B$4/2-G36,0)-200000)*Inputs!$B$23,IF(MAX(E36-Inputs!$B$22-Tax!$B$4/2-G36,0)&gt;150000,9000+(MAX(E36-Inputs!$B$22-Tax!$B$4/2-G36,0)-150000)*0.14,IF(MAX(E36-Inputs!$B$22-Tax!$B$4/2-G36,0)&gt;100000,4000+(MAX(E36-Inputs!$B$22-Tax!$B$4/2-G36,0)-100000)*0.1,IF(MAX(E36-Inputs!$B$22-Tax!$B$4/2-G36,0)&gt;50000,1000+(MAX(E36-Inputs!$B$22-Tax!$B$4/2-G36,0)-50000)*0.06,MAX(MAX(E36-Inputs!$B$22-Tax!$B$4/2-G36,0),0)*0.02)))))</f>
        <v>0</v>
      </c>
      <c r="J36" s="16" t="n">
        <f aca="false">IF(D36&gt;0,Inputs!$B$22,0)+IF(E36&gt;0,Inputs!$B$22,0)</f>
        <v>0</v>
      </c>
      <c r="K36" s="16" t="n">
        <f aca="false">IF($A36&lt;Inputs!$B$45,Inputs!$B$31*(1+Inputs!$B$5)^($A36-Inputs!$B$44),0)</f>
        <v>0</v>
      </c>
      <c r="L36" s="16" t="n">
        <f aca="false">IF(AND($A36&gt;=Inputs!$B$47,$A36&lt;Inputs!$B$47+Inputs!$B$41),Inputs!$B$40*(1+Inputs!$B$8)^($A36-Inputs!$B$44),0)</f>
        <v>0</v>
      </c>
      <c r="M36" s="16" t="n">
        <f aca="false">IF($A36&gt;=Inputs!$B$45,Inputs!$B$32*(1+Inputs!$B$5)^($A36-Inputs!$B$44),0)</f>
        <v>1718930.41146278</v>
      </c>
      <c r="N36" s="16" t="n">
        <f aca="false">IF($A36&gt;=Inputs!$B$45,Inputs!$B$39,0)</f>
        <v>268000</v>
      </c>
      <c r="O36" s="16" t="n">
        <f aca="false">D36+E36-H36-I36-J36-K36-L36-M36+N36-Inputs!$B$42</f>
        <v>-1450930.41146278</v>
      </c>
      <c r="P36" s="16" t="n">
        <f aca="false">S35</f>
        <v>24254996.0403191</v>
      </c>
      <c r="Q36" s="16" t="n">
        <f aca="false">P36*Inputs!$B$35</f>
        <v>1164239.80993532</v>
      </c>
      <c r="R36" s="16" t="n">
        <f aca="false">IF($A36=Inputs!$B$45,-Inputs!$B$38,0)</f>
        <v>0</v>
      </c>
      <c r="S36" s="16" t="n">
        <f aca="false">MAX(P36+Q36+O36+R36,0)</f>
        <v>23968305.4387916</v>
      </c>
    </row>
    <row r="37" customFormat="false" ht="15" hidden="false" customHeight="false" outlineLevel="0" collapsed="false">
      <c r="A37" s="19" t="n">
        <v>2059</v>
      </c>
      <c r="B37" s="19" t="n">
        <f aca="false">$A37-1972</f>
        <v>87</v>
      </c>
      <c r="C37" s="19" t="n">
        <f aca="false">$A37-1977</f>
        <v>82</v>
      </c>
      <c r="D37" s="16" t="n">
        <f aca="false">IF($A37&lt;Inputs!$B$45,(Inputs!$B$27+Inputs!$B$28)*(1+Inputs!$B$6)^($A37-Inputs!$B$44),0)</f>
        <v>0</v>
      </c>
      <c r="E37" s="16" t="n">
        <f aca="false">IF($A37&lt;Inputs!$B$46,Inputs!$B$29*(1+Inputs!$B$7)^($A37-Inputs!$B$44),0)</f>
        <v>0</v>
      </c>
      <c r="F37" s="16" t="n">
        <f aca="false">(Inputs!$B$18+Inputs!$B$20+2*Inputs!$B$21)*(1+Inputs!$B$5)^($A37-Inputs!$B$44)</f>
        <v>892246.090180763</v>
      </c>
      <c r="G37" s="16" t="n">
        <f aca="false">Inputs!$B$18*(1+Inputs!$B$5)^($A37-Inputs!$B$44)</f>
        <v>327533.374876483</v>
      </c>
      <c r="H37" s="16" t="n">
        <f aca="false">IF(D37=0,0,IF(MAX(D37-Inputs!$B$22-Tax!$B$4/2-F37,0)&gt;200000,Inputs!$B$24+(MAX(D37-Inputs!$B$22-Tax!$B$4/2-F37,0)-200000)*Inputs!$B$23,IF(MAX(D37-Inputs!$B$22-Tax!$B$4/2-F37,0)&gt;150000,9000+(MAX(D37-Inputs!$B$22-Tax!$B$4/2-F37,0)-150000)*0.14,IF(MAX(D37-Inputs!$B$22-Tax!$B$4/2-F37,0)&gt;100000,4000+(MAX(D37-Inputs!$B$22-Tax!$B$4/2-F37,0)-100000)*0.1,IF(MAX(D37-Inputs!$B$22-Tax!$B$4/2-F37,0)&gt;50000,1000+(MAX(D37-Inputs!$B$22-Tax!$B$4/2-F37,0)-50000)*0.06,MAX(MAX(D37-Inputs!$B$22-Tax!$B$4/2-F37,0),0)*0.02)))))</f>
        <v>0</v>
      </c>
      <c r="I37" s="16" t="n">
        <f aca="false">IF(E37=0,0,IF(MAX(E37-Inputs!$B$22-Tax!$B$4/2-G37,0)&gt;200000,Inputs!$B$24+(MAX(E37-Inputs!$B$22-Tax!$B$4/2-G37,0)-200000)*Inputs!$B$23,IF(MAX(E37-Inputs!$B$22-Tax!$B$4/2-G37,0)&gt;150000,9000+(MAX(E37-Inputs!$B$22-Tax!$B$4/2-G37,0)-150000)*0.14,IF(MAX(E37-Inputs!$B$22-Tax!$B$4/2-G37,0)&gt;100000,4000+(MAX(E37-Inputs!$B$22-Tax!$B$4/2-G37,0)-100000)*0.1,IF(MAX(E37-Inputs!$B$22-Tax!$B$4/2-G37,0)&gt;50000,1000+(MAX(E37-Inputs!$B$22-Tax!$B$4/2-G37,0)-50000)*0.06,MAX(MAX(E37-Inputs!$B$22-Tax!$B$4/2-G37,0),0)*0.02)))))</f>
        <v>0</v>
      </c>
      <c r="J37" s="16" t="n">
        <f aca="false">IF(D37&gt;0,Inputs!$B$22,0)+IF(E37&gt;0,Inputs!$B$22,0)</f>
        <v>0</v>
      </c>
      <c r="K37" s="16" t="n">
        <f aca="false">IF($A37&lt;Inputs!$B$45,Inputs!$B$31*(1+Inputs!$B$5)^($A37-Inputs!$B$44),0)</f>
        <v>0</v>
      </c>
      <c r="L37" s="16" t="n">
        <f aca="false">IF(AND($A37&gt;=Inputs!$B$47,$A37&lt;Inputs!$B$47+Inputs!$B$41),Inputs!$B$40*(1+Inputs!$B$8)^($A37-Inputs!$B$44),0)</f>
        <v>0</v>
      </c>
      <c r="M37" s="16" t="n">
        <f aca="false">IF($A37&gt;=Inputs!$B$45,Inputs!$B$32*(1+Inputs!$B$5)^($A37-Inputs!$B$44),0)</f>
        <v>1761903.67174935</v>
      </c>
      <c r="N37" s="16" t="n">
        <f aca="false">IF($A37&gt;=Inputs!$B$45,Inputs!$B$39,0)</f>
        <v>268000</v>
      </c>
      <c r="O37" s="16" t="n">
        <f aca="false">D37+E37-H37-I37-J37-K37-L37-M37+N37-Inputs!$B$42</f>
        <v>-1493903.67174935</v>
      </c>
      <c r="P37" s="16" t="n">
        <f aca="false">S36</f>
        <v>23968305.4387916</v>
      </c>
      <c r="Q37" s="16" t="n">
        <f aca="false">P37*Inputs!$B$35</f>
        <v>1150478.661062</v>
      </c>
      <c r="R37" s="16" t="n">
        <f aca="false">IF($A37=Inputs!$B$45,-Inputs!$B$38,0)</f>
        <v>0</v>
      </c>
      <c r="S37" s="16" t="n">
        <f aca="false">MAX(P37+Q37+O37+R37,0)</f>
        <v>23624880.4281042</v>
      </c>
    </row>
    <row r="38" customFormat="false" ht="15" hidden="false" customHeight="false" outlineLevel="0" collapsed="false">
      <c r="A38" s="19" t="n">
        <v>2060</v>
      </c>
      <c r="B38" s="19" t="n">
        <f aca="false">$A38-1972</f>
        <v>88</v>
      </c>
      <c r="C38" s="19" t="n">
        <f aca="false">$A38-1977</f>
        <v>83</v>
      </c>
      <c r="D38" s="16" t="n">
        <f aca="false">IF($A38&lt;Inputs!$B$45,(Inputs!$B$27+Inputs!$B$28)*(1+Inputs!$B$6)^($A38-Inputs!$B$44),0)</f>
        <v>0</v>
      </c>
      <c r="E38" s="16" t="n">
        <f aca="false">IF($A38&lt;Inputs!$B$46,Inputs!$B$29*(1+Inputs!$B$7)^($A38-Inputs!$B$44),0)</f>
        <v>0</v>
      </c>
      <c r="F38" s="16" t="n">
        <f aca="false">(Inputs!$B$18+Inputs!$B$20+2*Inputs!$B$21)*(1+Inputs!$B$5)^($A38-Inputs!$B$44)</f>
        <v>914552.242435282</v>
      </c>
      <c r="G38" s="16" t="n">
        <f aca="false">Inputs!$B$18*(1+Inputs!$B$5)^($A38-Inputs!$B$44)</f>
        <v>335721.709248395</v>
      </c>
      <c r="H38" s="16" t="n">
        <f aca="false">IF(D38=0,0,IF(MAX(D38-Inputs!$B$22-Tax!$B$4/2-F38,0)&gt;200000,Inputs!$B$24+(MAX(D38-Inputs!$B$22-Tax!$B$4/2-F38,0)-200000)*Inputs!$B$23,IF(MAX(D38-Inputs!$B$22-Tax!$B$4/2-F38,0)&gt;150000,9000+(MAX(D38-Inputs!$B$22-Tax!$B$4/2-F38,0)-150000)*0.14,IF(MAX(D38-Inputs!$B$22-Tax!$B$4/2-F38,0)&gt;100000,4000+(MAX(D38-Inputs!$B$22-Tax!$B$4/2-F38,0)-100000)*0.1,IF(MAX(D38-Inputs!$B$22-Tax!$B$4/2-F38,0)&gt;50000,1000+(MAX(D38-Inputs!$B$22-Tax!$B$4/2-F38,0)-50000)*0.06,MAX(MAX(D38-Inputs!$B$22-Tax!$B$4/2-F38,0),0)*0.02)))))</f>
        <v>0</v>
      </c>
      <c r="I38" s="16" t="n">
        <f aca="false">IF(E38=0,0,IF(MAX(E38-Inputs!$B$22-Tax!$B$4/2-G38,0)&gt;200000,Inputs!$B$24+(MAX(E38-Inputs!$B$22-Tax!$B$4/2-G38,0)-200000)*Inputs!$B$23,IF(MAX(E38-Inputs!$B$22-Tax!$B$4/2-G38,0)&gt;150000,9000+(MAX(E38-Inputs!$B$22-Tax!$B$4/2-G38,0)-150000)*0.14,IF(MAX(E38-Inputs!$B$22-Tax!$B$4/2-G38,0)&gt;100000,4000+(MAX(E38-Inputs!$B$22-Tax!$B$4/2-G38,0)-100000)*0.1,IF(MAX(E38-Inputs!$B$22-Tax!$B$4/2-G38,0)&gt;50000,1000+(MAX(E38-Inputs!$B$22-Tax!$B$4/2-G38,0)-50000)*0.06,MAX(MAX(E38-Inputs!$B$22-Tax!$B$4/2-G38,0),0)*0.02)))))</f>
        <v>0</v>
      </c>
      <c r="J38" s="16" t="n">
        <f aca="false">IF(D38&gt;0,Inputs!$B$22,0)+IF(E38&gt;0,Inputs!$B$22,0)</f>
        <v>0</v>
      </c>
      <c r="K38" s="16" t="n">
        <f aca="false">IF($A38&lt;Inputs!$B$45,Inputs!$B$31*(1+Inputs!$B$5)^($A38-Inputs!$B$44),0)</f>
        <v>0</v>
      </c>
      <c r="L38" s="16" t="n">
        <f aca="false">IF(AND($A38&gt;=Inputs!$B$47,$A38&lt;Inputs!$B$47+Inputs!$B$41),Inputs!$B$40*(1+Inputs!$B$8)^($A38-Inputs!$B$44),0)</f>
        <v>0</v>
      </c>
      <c r="M38" s="16" t="n">
        <f aca="false">IF($A38&gt;=Inputs!$B$45,Inputs!$B$32*(1+Inputs!$B$5)^($A38-Inputs!$B$44),0)</f>
        <v>1805951.26354309</v>
      </c>
      <c r="N38" s="16" t="n">
        <f aca="false">IF($A38&gt;=Inputs!$B$45,Inputs!$B$39,0)</f>
        <v>268000</v>
      </c>
      <c r="O38" s="16" t="n">
        <f aca="false">D38+E38-H38-I38-J38-K38-L38-M38+N38-Inputs!$B$42</f>
        <v>-1537951.26354309</v>
      </c>
      <c r="P38" s="16" t="n">
        <f aca="false">S37</f>
        <v>23624880.4281042</v>
      </c>
      <c r="Q38" s="16" t="n">
        <f aca="false">P38*Inputs!$B$35</f>
        <v>1133994.260549</v>
      </c>
      <c r="R38" s="16" t="n">
        <f aca="false">IF($A38=Inputs!$B$45,-Inputs!$B$38,0)</f>
        <v>0</v>
      </c>
      <c r="S38" s="16" t="n">
        <f aca="false">MAX(P38+Q38+O38+R38,0)</f>
        <v>23220923.4251102</v>
      </c>
    </row>
    <row r="39" customFormat="false" ht="15" hidden="false" customHeight="false" outlineLevel="0" collapsed="false">
      <c r="A39" s="19" t="n">
        <v>2061</v>
      </c>
      <c r="B39" s="19" t="n">
        <f aca="false">$A39-1972</f>
        <v>89</v>
      </c>
      <c r="C39" s="19" t="n">
        <f aca="false">$A39-1977</f>
        <v>84</v>
      </c>
      <c r="D39" s="16" t="n">
        <f aca="false">IF($A39&lt;Inputs!$B$45,(Inputs!$B$27+Inputs!$B$28)*(1+Inputs!$B$6)^($A39-Inputs!$B$44),0)</f>
        <v>0</v>
      </c>
      <c r="E39" s="16" t="n">
        <f aca="false">IF($A39&lt;Inputs!$B$46,Inputs!$B$29*(1+Inputs!$B$7)^($A39-Inputs!$B$44),0)</f>
        <v>0</v>
      </c>
      <c r="F39" s="16" t="n">
        <f aca="false">(Inputs!$B$18+Inputs!$B$20+2*Inputs!$B$21)*(1+Inputs!$B$5)^($A39-Inputs!$B$44)</f>
        <v>937416.048496164</v>
      </c>
      <c r="G39" s="16" t="n">
        <f aca="false">Inputs!$B$18*(1+Inputs!$B$5)^($A39-Inputs!$B$44)</f>
        <v>344114.751979604</v>
      </c>
      <c r="H39" s="16" t="n">
        <f aca="false">IF(D39=0,0,IF(MAX(D39-Inputs!$B$22-Tax!$B$4/2-F39,0)&gt;200000,Inputs!$B$24+(MAX(D39-Inputs!$B$22-Tax!$B$4/2-F39,0)-200000)*Inputs!$B$23,IF(MAX(D39-Inputs!$B$22-Tax!$B$4/2-F39,0)&gt;150000,9000+(MAX(D39-Inputs!$B$22-Tax!$B$4/2-F39,0)-150000)*0.14,IF(MAX(D39-Inputs!$B$22-Tax!$B$4/2-F39,0)&gt;100000,4000+(MAX(D39-Inputs!$B$22-Tax!$B$4/2-F39,0)-100000)*0.1,IF(MAX(D39-Inputs!$B$22-Tax!$B$4/2-F39,0)&gt;50000,1000+(MAX(D39-Inputs!$B$22-Tax!$B$4/2-F39,0)-50000)*0.06,MAX(MAX(D39-Inputs!$B$22-Tax!$B$4/2-F39,0),0)*0.02)))))</f>
        <v>0</v>
      </c>
      <c r="I39" s="16" t="n">
        <f aca="false">IF(E39=0,0,IF(MAX(E39-Inputs!$B$22-Tax!$B$4/2-G39,0)&gt;200000,Inputs!$B$24+(MAX(E39-Inputs!$B$22-Tax!$B$4/2-G39,0)-200000)*Inputs!$B$23,IF(MAX(E39-Inputs!$B$22-Tax!$B$4/2-G39,0)&gt;150000,9000+(MAX(E39-Inputs!$B$22-Tax!$B$4/2-G39,0)-150000)*0.14,IF(MAX(E39-Inputs!$B$22-Tax!$B$4/2-G39,0)&gt;100000,4000+(MAX(E39-Inputs!$B$22-Tax!$B$4/2-G39,0)-100000)*0.1,IF(MAX(E39-Inputs!$B$22-Tax!$B$4/2-G39,0)&gt;50000,1000+(MAX(E39-Inputs!$B$22-Tax!$B$4/2-G39,0)-50000)*0.06,MAX(MAX(E39-Inputs!$B$22-Tax!$B$4/2-G39,0),0)*0.02)))))</f>
        <v>0</v>
      </c>
      <c r="J39" s="16" t="n">
        <f aca="false">IF(D39&gt;0,Inputs!$B$22,0)+IF(E39&gt;0,Inputs!$B$22,0)</f>
        <v>0</v>
      </c>
      <c r="K39" s="16" t="n">
        <f aca="false">IF($A39&lt;Inputs!$B$45,Inputs!$B$31*(1+Inputs!$B$5)^($A39-Inputs!$B$44),0)</f>
        <v>0</v>
      </c>
      <c r="L39" s="16" t="n">
        <f aca="false">IF(AND($A39&gt;=Inputs!$B$47,$A39&lt;Inputs!$B$47+Inputs!$B$41),Inputs!$B$40*(1+Inputs!$B$8)^($A39-Inputs!$B$44),0)</f>
        <v>0</v>
      </c>
      <c r="M39" s="16" t="n">
        <f aca="false">IF($A39&gt;=Inputs!$B$45,Inputs!$B$32*(1+Inputs!$B$5)^($A39-Inputs!$B$44),0)</f>
        <v>1851100.04513167</v>
      </c>
      <c r="N39" s="16" t="n">
        <f aca="false">IF($A39&gt;=Inputs!$B$45,Inputs!$B$39,0)</f>
        <v>268000</v>
      </c>
      <c r="O39" s="16" t="n">
        <f aca="false">D39+E39-H39-I39-J39-K39-L39-M39+N39-Inputs!$B$42</f>
        <v>-1583100.04513167</v>
      </c>
      <c r="P39" s="16" t="n">
        <f aca="false">S38</f>
        <v>23220923.4251102</v>
      </c>
      <c r="Q39" s="16" t="n">
        <f aca="false">P39*Inputs!$B$35</f>
        <v>1114604.32440529</v>
      </c>
      <c r="R39" s="16" t="n">
        <f aca="false">IF($A39=Inputs!$B$45,-Inputs!$B$38,0)</f>
        <v>0</v>
      </c>
      <c r="S39" s="16" t="n">
        <f aca="false">MAX(P39+Q39+O39+R39,0)</f>
        <v>22752427.7043838</v>
      </c>
    </row>
    <row r="40" customFormat="false" ht="15" hidden="false" customHeight="false" outlineLevel="0" collapsed="false">
      <c r="A40" s="19" t="n">
        <v>2062</v>
      </c>
      <c r="B40" s="19" t="n">
        <f aca="false">$A40-1972</f>
        <v>90</v>
      </c>
      <c r="C40" s="19" t="n">
        <f aca="false">$A40-1977</f>
        <v>85</v>
      </c>
      <c r="D40" s="16" t="n">
        <f aca="false">IF($A40&lt;Inputs!$B$45,(Inputs!$B$27+Inputs!$B$28)*(1+Inputs!$B$6)^($A40-Inputs!$B$44),0)</f>
        <v>0</v>
      </c>
      <c r="E40" s="16" t="n">
        <f aca="false">IF($A40&lt;Inputs!$B$46,Inputs!$B$29*(1+Inputs!$B$7)^($A40-Inputs!$B$44),0)</f>
        <v>0</v>
      </c>
      <c r="F40" s="16" t="n">
        <f aca="false">(Inputs!$B$18+Inputs!$B$20+2*Inputs!$B$21)*(1+Inputs!$B$5)^($A40-Inputs!$B$44)</f>
        <v>960851.449708568</v>
      </c>
      <c r="G40" s="16" t="n">
        <f aca="false">Inputs!$B$18*(1+Inputs!$B$5)^($A40-Inputs!$B$44)</f>
        <v>352717.620779094</v>
      </c>
      <c r="H40" s="16" t="n">
        <f aca="false">IF(D40=0,0,IF(MAX(D40-Inputs!$B$22-Tax!$B$4/2-F40,0)&gt;200000,Inputs!$B$24+(MAX(D40-Inputs!$B$22-Tax!$B$4/2-F40,0)-200000)*Inputs!$B$23,IF(MAX(D40-Inputs!$B$22-Tax!$B$4/2-F40,0)&gt;150000,9000+(MAX(D40-Inputs!$B$22-Tax!$B$4/2-F40,0)-150000)*0.14,IF(MAX(D40-Inputs!$B$22-Tax!$B$4/2-F40,0)&gt;100000,4000+(MAX(D40-Inputs!$B$22-Tax!$B$4/2-F40,0)-100000)*0.1,IF(MAX(D40-Inputs!$B$22-Tax!$B$4/2-F40,0)&gt;50000,1000+(MAX(D40-Inputs!$B$22-Tax!$B$4/2-F40,0)-50000)*0.06,MAX(MAX(D40-Inputs!$B$22-Tax!$B$4/2-F40,0),0)*0.02)))))</f>
        <v>0</v>
      </c>
      <c r="I40" s="16" t="n">
        <f aca="false">IF(E40=0,0,IF(MAX(E40-Inputs!$B$22-Tax!$B$4/2-G40,0)&gt;200000,Inputs!$B$24+(MAX(E40-Inputs!$B$22-Tax!$B$4/2-G40,0)-200000)*Inputs!$B$23,IF(MAX(E40-Inputs!$B$22-Tax!$B$4/2-G40,0)&gt;150000,9000+(MAX(E40-Inputs!$B$22-Tax!$B$4/2-G40,0)-150000)*0.14,IF(MAX(E40-Inputs!$B$22-Tax!$B$4/2-G40,0)&gt;100000,4000+(MAX(E40-Inputs!$B$22-Tax!$B$4/2-G40,0)-100000)*0.1,IF(MAX(E40-Inputs!$B$22-Tax!$B$4/2-G40,0)&gt;50000,1000+(MAX(E40-Inputs!$B$22-Tax!$B$4/2-G40,0)-50000)*0.06,MAX(MAX(E40-Inputs!$B$22-Tax!$B$4/2-G40,0),0)*0.02)))))</f>
        <v>0</v>
      </c>
      <c r="J40" s="16" t="n">
        <f aca="false">IF(D40&gt;0,Inputs!$B$22,0)+IF(E40&gt;0,Inputs!$B$22,0)</f>
        <v>0</v>
      </c>
      <c r="K40" s="16" t="n">
        <f aca="false">IF($A40&lt;Inputs!$B$45,Inputs!$B$31*(1+Inputs!$B$5)^($A40-Inputs!$B$44),0)</f>
        <v>0</v>
      </c>
      <c r="L40" s="16" t="n">
        <f aca="false">IF(AND($A40&gt;=Inputs!$B$47,$A40&lt;Inputs!$B$47+Inputs!$B$41),Inputs!$B$40*(1+Inputs!$B$8)^($A40-Inputs!$B$44),0)</f>
        <v>0</v>
      </c>
      <c r="M40" s="16" t="n">
        <f aca="false">IF($A40&gt;=Inputs!$B$45,Inputs!$B$32*(1+Inputs!$B$5)^($A40-Inputs!$B$44),0)</f>
        <v>1897377.54625996</v>
      </c>
      <c r="N40" s="16" t="n">
        <f aca="false">IF($A40&gt;=Inputs!$B$45,Inputs!$B$39,0)</f>
        <v>268000</v>
      </c>
      <c r="O40" s="16" t="n">
        <f aca="false">D40+E40-H40-I40-J40-K40-L40-M40+N40-Inputs!$B$42</f>
        <v>-1629377.54625996</v>
      </c>
      <c r="P40" s="16" t="n">
        <f aca="false">S39</f>
        <v>22752427.7043838</v>
      </c>
      <c r="Q40" s="16" t="n">
        <f aca="false">P40*Inputs!$B$35</f>
        <v>1092116.52981042</v>
      </c>
      <c r="R40" s="16" t="n">
        <f aca="false">IF($A40=Inputs!$B$45,-Inputs!$B$38,0)</f>
        <v>0</v>
      </c>
      <c r="S40" s="16" t="n">
        <f aca="false">MAX(P40+Q40+O40+R40,0)</f>
        <v>22215166.6879342</v>
      </c>
    </row>
    <row r="41" customFormat="false" ht="15" hidden="false" customHeight="false" outlineLevel="0" collapsed="false">
      <c r="A41" s="19" t="n">
        <v>2063</v>
      </c>
      <c r="B41" s="19" t="n">
        <f aca="false">$A41-1972</f>
        <v>91</v>
      </c>
      <c r="C41" s="19" t="n">
        <f aca="false">$A41-1977</f>
        <v>86</v>
      </c>
      <c r="D41" s="16" t="n">
        <f aca="false">IF($A41&lt;Inputs!$B$45,(Inputs!$B$27+Inputs!$B$28)*(1+Inputs!$B$6)^($A41-Inputs!$B$44),0)</f>
        <v>0</v>
      </c>
      <c r="E41" s="16" t="n">
        <f aca="false">IF($A41&lt;Inputs!$B$46,Inputs!$B$29*(1+Inputs!$B$7)^($A41-Inputs!$B$44),0)</f>
        <v>0</v>
      </c>
      <c r="F41" s="16" t="n">
        <f aca="false">(Inputs!$B$18+Inputs!$B$20+2*Inputs!$B$21)*(1+Inputs!$B$5)^($A41-Inputs!$B$44)</f>
        <v>984872.735951282</v>
      </c>
      <c r="G41" s="16" t="n">
        <f aca="false">Inputs!$B$18*(1+Inputs!$B$5)^($A41-Inputs!$B$44)</f>
        <v>361535.561298572</v>
      </c>
      <c r="H41" s="16" t="n">
        <f aca="false">IF(D41=0,0,IF(MAX(D41-Inputs!$B$22-Tax!$B$4/2-F41,0)&gt;200000,Inputs!$B$24+(MAX(D41-Inputs!$B$22-Tax!$B$4/2-F41,0)-200000)*Inputs!$B$23,IF(MAX(D41-Inputs!$B$22-Tax!$B$4/2-F41,0)&gt;150000,9000+(MAX(D41-Inputs!$B$22-Tax!$B$4/2-F41,0)-150000)*0.14,IF(MAX(D41-Inputs!$B$22-Tax!$B$4/2-F41,0)&gt;100000,4000+(MAX(D41-Inputs!$B$22-Tax!$B$4/2-F41,0)-100000)*0.1,IF(MAX(D41-Inputs!$B$22-Tax!$B$4/2-F41,0)&gt;50000,1000+(MAX(D41-Inputs!$B$22-Tax!$B$4/2-F41,0)-50000)*0.06,MAX(MAX(D41-Inputs!$B$22-Tax!$B$4/2-F41,0),0)*0.02)))))</f>
        <v>0</v>
      </c>
      <c r="I41" s="16" t="n">
        <f aca="false">IF(E41=0,0,IF(MAX(E41-Inputs!$B$22-Tax!$B$4/2-G41,0)&gt;200000,Inputs!$B$24+(MAX(E41-Inputs!$B$22-Tax!$B$4/2-G41,0)-200000)*Inputs!$B$23,IF(MAX(E41-Inputs!$B$22-Tax!$B$4/2-G41,0)&gt;150000,9000+(MAX(E41-Inputs!$B$22-Tax!$B$4/2-G41,0)-150000)*0.14,IF(MAX(E41-Inputs!$B$22-Tax!$B$4/2-G41,0)&gt;100000,4000+(MAX(E41-Inputs!$B$22-Tax!$B$4/2-G41,0)-100000)*0.1,IF(MAX(E41-Inputs!$B$22-Tax!$B$4/2-G41,0)&gt;50000,1000+(MAX(E41-Inputs!$B$22-Tax!$B$4/2-G41,0)-50000)*0.06,MAX(MAX(E41-Inputs!$B$22-Tax!$B$4/2-G41,0),0)*0.02)))))</f>
        <v>0</v>
      </c>
      <c r="J41" s="16" t="n">
        <f aca="false">IF(D41&gt;0,Inputs!$B$22,0)+IF(E41&gt;0,Inputs!$B$22,0)</f>
        <v>0</v>
      </c>
      <c r="K41" s="16" t="n">
        <f aca="false">IF($A41&lt;Inputs!$B$45,Inputs!$B$31*(1+Inputs!$B$5)^($A41-Inputs!$B$44),0)</f>
        <v>0</v>
      </c>
      <c r="L41" s="16" t="n">
        <f aca="false">IF(AND($A41&gt;=Inputs!$B$47,$A41&lt;Inputs!$B$47+Inputs!$B$41),Inputs!$B$40*(1+Inputs!$B$8)^($A41-Inputs!$B$44),0)</f>
        <v>0</v>
      </c>
      <c r="M41" s="16" t="n">
        <f aca="false">IF($A41&gt;=Inputs!$B$45,Inputs!$B$32*(1+Inputs!$B$5)^($A41-Inputs!$B$44),0)</f>
        <v>1944811.98491646</v>
      </c>
      <c r="N41" s="16" t="n">
        <f aca="false">IF($A41&gt;=Inputs!$B$45,Inputs!$B$39,0)</f>
        <v>268000</v>
      </c>
      <c r="O41" s="16" t="n">
        <f aca="false">D41+E41-H41-I41-J41-K41-L41-M41+N41-Inputs!$B$42</f>
        <v>-1676811.98491646</v>
      </c>
      <c r="P41" s="16" t="n">
        <f aca="false">S40</f>
        <v>22215166.6879342</v>
      </c>
      <c r="Q41" s="16" t="n">
        <f aca="false">P41*Inputs!$B$35</f>
        <v>1066328.00102084</v>
      </c>
      <c r="R41" s="16" t="n">
        <f aca="false">IF($A41=Inputs!$B$45,-Inputs!$B$38,0)</f>
        <v>0</v>
      </c>
      <c r="S41" s="16" t="n">
        <f aca="false">MAX(P41+Q41+O41+R41,0)</f>
        <v>21604682.7040386</v>
      </c>
    </row>
    <row r="42" customFormat="false" ht="15" hidden="false" customHeight="false" outlineLevel="0" collapsed="false">
      <c r="A42" s="19" t="n">
        <v>2064</v>
      </c>
      <c r="B42" s="19" t="n">
        <f aca="false">$A42-1972</f>
        <v>92</v>
      </c>
      <c r="C42" s="19" t="n">
        <f aca="false">$A42-1977</f>
        <v>87</v>
      </c>
      <c r="D42" s="16" t="n">
        <f aca="false">IF($A42&lt;Inputs!$B$45,(Inputs!$B$27+Inputs!$B$28)*(1+Inputs!$B$6)^($A42-Inputs!$B$44),0)</f>
        <v>0</v>
      </c>
      <c r="E42" s="16" t="n">
        <f aca="false">IF($A42&lt;Inputs!$B$46,Inputs!$B$29*(1+Inputs!$B$7)^($A42-Inputs!$B$44),0)</f>
        <v>0</v>
      </c>
      <c r="F42" s="16" t="n">
        <f aca="false">(Inputs!$B$18+Inputs!$B$20+2*Inputs!$B$21)*(1+Inputs!$B$5)^($A42-Inputs!$B$44)</f>
        <v>1009494.55435006</v>
      </c>
      <c r="G42" s="16" t="n">
        <f aca="false">Inputs!$B$18*(1+Inputs!$B$5)^($A42-Inputs!$B$44)</f>
        <v>370573.950331036</v>
      </c>
      <c r="H42" s="16" t="n">
        <f aca="false">IF(D42=0,0,IF(MAX(D42-Inputs!$B$22-Tax!$B$4/2-F42,0)&gt;200000,Inputs!$B$24+(MAX(D42-Inputs!$B$22-Tax!$B$4/2-F42,0)-200000)*Inputs!$B$23,IF(MAX(D42-Inputs!$B$22-Tax!$B$4/2-F42,0)&gt;150000,9000+(MAX(D42-Inputs!$B$22-Tax!$B$4/2-F42,0)-150000)*0.14,IF(MAX(D42-Inputs!$B$22-Tax!$B$4/2-F42,0)&gt;100000,4000+(MAX(D42-Inputs!$B$22-Tax!$B$4/2-F42,0)-100000)*0.1,IF(MAX(D42-Inputs!$B$22-Tax!$B$4/2-F42,0)&gt;50000,1000+(MAX(D42-Inputs!$B$22-Tax!$B$4/2-F42,0)-50000)*0.06,MAX(MAX(D42-Inputs!$B$22-Tax!$B$4/2-F42,0),0)*0.02)))))</f>
        <v>0</v>
      </c>
      <c r="I42" s="16" t="n">
        <f aca="false">IF(E42=0,0,IF(MAX(E42-Inputs!$B$22-Tax!$B$4/2-G42,0)&gt;200000,Inputs!$B$24+(MAX(E42-Inputs!$B$22-Tax!$B$4/2-G42,0)-200000)*Inputs!$B$23,IF(MAX(E42-Inputs!$B$22-Tax!$B$4/2-G42,0)&gt;150000,9000+(MAX(E42-Inputs!$B$22-Tax!$B$4/2-G42,0)-150000)*0.14,IF(MAX(E42-Inputs!$B$22-Tax!$B$4/2-G42,0)&gt;100000,4000+(MAX(E42-Inputs!$B$22-Tax!$B$4/2-G42,0)-100000)*0.1,IF(MAX(E42-Inputs!$B$22-Tax!$B$4/2-G42,0)&gt;50000,1000+(MAX(E42-Inputs!$B$22-Tax!$B$4/2-G42,0)-50000)*0.06,MAX(MAX(E42-Inputs!$B$22-Tax!$B$4/2-G42,0),0)*0.02)))))</f>
        <v>0</v>
      </c>
      <c r="J42" s="16" t="n">
        <f aca="false">IF(D42&gt;0,Inputs!$B$22,0)+IF(E42&gt;0,Inputs!$B$22,0)</f>
        <v>0</v>
      </c>
      <c r="K42" s="16" t="n">
        <f aca="false">IF($A42&lt;Inputs!$B$45,Inputs!$B$31*(1+Inputs!$B$5)^($A42-Inputs!$B$44),0)</f>
        <v>0</v>
      </c>
      <c r="L42" s="16" t="n">
        <f aca="false">IF(AND($A42&gt;=Inputs!$B$47,$A42&lt;Inputs!$B$47+Inputs!$B$41),Inputs!$B$40*(1+Inputs!$B$8)^($A42-Inputs!$B$44),0)</f>
        <v>0</v>
      </c>
      <c r="M42" s="16" t="n">
        <f aca="false">IF($A42&gt;=Inputs!$B$45,Inputs!$B$32*(1+Inputs!$B$5)^($A42-Inputs!$B$44),0)</f>
        <v>1993432.28453937</v>
      </c>
      <c r="N42" s="16" t="n">
        <f aca="false">IF($A42&gt;=Inputs!$B$45,Inputs!$B$39,0)</f>
        <v>268000</v>
      </c>
      <c r="O42" s="16" t="n">
        <f aca="false">D42+E42-H42-I42-J42-K42-L42-M42+N42-Inputs!$B$42</f>
        <v>-1725432.28453937</v>
      </c>
      <c r="P42" s="16" t="n">
        <f aca="false">S41</f>
        <v>21604682.7040386</v>
      </c>
      <c r="Q42" s="16" t="n">
        <f aca="false">P42*Inputs!$B$35</f>
        <v>1037024.76979385</v>
      </c>
      <c r="R42" s="16" t="n">
        <f aca="false">IF($A42=Inputs!$B$45,-Inputs!$B$38,0)</f>
        <v>0</v>
      </c>
      <c r="S42" s="16" t="n">
        <f aca="false">MAX(P42+Q42+O42+R42,0)</f>
        <v>20916275.1892931</v>
      </c>
    </row>
    <row r="43" customFormat="false" ht="15" hidden="false" customHeight="false" outlineLevel="0" collapsed="false">
      <c r="A43" s="19" t="n">
        <v>2065</v>
      </c>
      <c r="B43" s="19" t="n">
        <f aca="false">$A43-1972</f>
        <v>93</v>
      </c>
      <c r="C43" s="19" t="n">
        <f aca="false">$A43-1977</f>
        <v>88</v>
      </c>
      <c r="D43" s="16" t="n">
        <f aca="false">IF($A43&lt;Inputs!$B$45,(Inputs!$B$27+Inputs!$B$28)*(1+Inputs!$B$6)^($A43-Inputs!$B$44),0)</f>
        <v>0</v>
      </c>
      <c r="E43" s="16" t="n">
        <f aca="false">IF($A43&lt;Inputs!$B$46,Inputs!$B$29*(1+Inputs!$B$7)^($A43-Inputs!$B$44),0)</f>
        <v>0</v>
      </c>
      <c r="F43" s="16" t="n">
        <f aca="false">(Inputs!$B$18+Inputs!$B$20+2*Inputs!$B$21)*(1+Inputs!$B$5)^($A43-Inputs!$B$44)</f>
        <v>1034731.91820882</v>
      </c>
      <c r="G43" s="16" t="n">
        <f aca="false">Inputs!$B$18*(1+Inputs!$B$5)^($A43-Inputs!$B$44)</f>
        <v>379838.299089312</v>
      </c>
      <c r="H43" s="16" t="n">
        <f aca="false">IF(D43=0,0,IF(MAX(D43-Inputs!$B$22-Tax!$B$4/2-F43,0)&gt;200000,Inputs!$B$24+(MAX(D43-Inputs!$B$22-Tax!$B$4/2-F43,0)-200000)*Inputs!$B$23,IF(MAX(D43-Inputs!$B$22-Tax!$B$4/2-F43,0)&gt;150000,9000+(MAX(D43-Inputs!$B$22-Tax!$B$4/2-F43,0)-150000)*0.14,IF(MAX(D43-Inputs!$B$22-Tax!$B$4/2-F43,0)&gt;100000,4000+(MAX(D43-Inputs!$B$22-Tax!$B$4/2-F43,0)-100000)*0.1,IF(MAX(D43-Inputs!$B$22-Tax!$B$4/2-F43,0)&gt;50000,1000+(MAX(D43-Inputs!$B$22-Tax!$B$4/2-F43,0)-50000)*0.06,MAX(MAX(D43-Inputs!$B$22-Tax!$B$4/2-F43,0),0)*0.02)))))</f>
        <v>0</v>
      </c>
      <c r="I43" s="16" t="n">
        <f aca="false">IF(E43=0,0,IF(MAX(E43-Inputs!$B$22-Tax!$B$4/2-G43,0)&gt;200000,Inputs!$B$24+(MAX(E43-Inputs!$B$22-Tax!$B$4/2-G43,0)-200000)*Inputs!$B$23,IF(MAX(E43-Inputs!$B$22-Tax!$B$4/2-G43,0)&gt;150000,9000+(MAX(E43-Inputs!$B$22-Tax!$B$4/2-G43,0)-150000)*0.14,IF(MAX(E43-Inputs!$B$22-Tax!$B$4/2-G43,0)&gt;100000,4000+(MAX(E43-Inputs!$B$22-Tax!$B$4/2-G43,0)-100000)*0.1,IF(MAX(E43-Inputs!$B$22-Tax!$B$4/2-G43,0)&gt;50000,1000+(MAX(E43-Inputs!$B$22-Tax!$B$4/2-G43,0)-50000)*0.06,MAX(MAX(E43-Inputs!$B$22-Tax!$B$4/2-G43,0),0)*0.02)))))</f>
        <v>0</v>
      </c>
      <c r="J43" s="16" t="n">
        <f aca="false">IF(D43&gt;0,Inputs!$B$22,0)+IF(E43&gt;0,Inputs!$B$22,0)</f>
        <v>0</v>
      </c>
      <c r="K43" s="16" t="n">
        <f aca="false">IF($A43&lt;Inputs!$B$45,Inputs!$B$31*(1+Inputs!$B$5)^($A43-Inputs!$B$44),0)</f>
        <v>0</v>
      </c>
      <c r="L43" s="16" t="n">
        <f aca="false">IF(AND($A43&gt;=Inputs!$B$47,$A43&lt;Inputs!$B$47+Inputs!$B$41),Inputs!$B$40*(1+Inputs!$B$8)^($A43-Inputs!$B$44),0)</f>
        <v>0</v>
      </c>
      <c r="M43" s="16" t="n">
        <f aca="false">IF($A43&gt;=Inputs!$B$45,Inputs!$B$32*(1+Inputs!$B$5)^($A43-Inputs!$B$44),0)</f>
        <v>2043268.09165285</v>
      </c>
      <c r="N43" s="16" t="n">
        <f aca="false">IF($A43&gt;=Inputs!$B$45,Inputs!$B$39,0)</f>
        <v>268000</v>
      </c>
      <c r="O43" s="16" t="n">
        <f aca="false">D43+E43-H43-I43-J43-K43-L43-M43+N43-Inputs!$B$42</f>
        <v>-1775268.09165285</v>
      </c>
      <c r="P43" s="16" t="n">
        <f aca="false">S42</f>
        <v>20916275.1892931</v>
      </c>
      <c r="Q43" s="16" t="n">
        <f aca="false">P43*Inputs!$B$35</f>
        <v>1003981.20908607</v>
      </c>
      <c r="R43" s="16" t="n">
        <f aca="false">IF($A43=Inputs!$B$45,-Inputs!$B$38,0)</f>
        <v>0</v>
      </c>
      <c r="S43" s="16" t="n">
        <f aca="false">MAX(P43+Q43+O43+R43,0)</f>
        <v>20144988.3067263</v>
      </c>
    </row>
    <row r="44" customFormat="false" ht="15" hidden="false" customHeight="false" outlineLevel="0" collapsed="false">
      <c r="A44" s="20" t="n">
        <v>2066</v>
      </c>
      <c r="B44" s="20" t="n">
        <f aca="false">$A44-1972</f>
        <v>94</v>
      </c>
      <c r="C44" s="20" t="n">
        <f aca="false">$A44-1977</f>
        <v>89</v>
      </c>
      <c r="D44" s="21" t="n">
        <f aca="false">IF($A44&lt;Inputs!$B$45,(Inputs!$B$27+Inputs!$B$28)*(1+Inputs!$B$6)^($A44-Inputs!$B$44),0)</f>
        <v>0</v>
      </c>
      <c r="E44" s="21" t="n">
        <f aca="false">IF($A44&lt;Inputs!$B$46,Inputs!$B$29*(1+Inputs!$B$7)^($A44-Inputs!$B$44),0)</f>
        <v>0</v>
      </c>
      <c r="F44" s="21" t="n">
        <f aca="false">(Inputs!$B$18+Inputs!$B$20+2*Inputs!$B$21)*(1+Inputs!$B$5)^($A44-Inputs!$B$44)</f>
        <v>1060600.21616404</v>
      </c>
      <c r="G44" s="21" t="n">
        <f aca="false">Inputs!$B$18*(1+Inputs!$B$5)^($A44-Inputs!$B$44)</f>
        <v>389334.256566545</v>
      </c>
      <c r="H44" s="21" t="n">
        <f aca="false">IF(D44=0,0,IF(MAX(D44-Inputs!$B$22-Tax!$B$4/2-F44,0)&gt;200000,Inputs!$B$24+(MAX(D44-Inputs!$B$22-Tax!$B$4/2-F44,0)-200000)*Inputs!$B$23,IF(MAX(D44-Inputs!$B$22-Tax!$B$4/2-F44,0)&gt;150000,9000+(MAX(D44-Inputs!$B$22-Tax!$B$4/2-F44,0)-150000)*0.14,IF(MAX(D44-Inputs!$B$22-Tax!$B$4/2-F44,0)&gt;100000,4000+(MAX(D44-Inputs!$B$22-Tax!$B$4/2-F44,0)-100000)*0.1,IF(MAX(D44-Inputs!$B$22-Tax!$B$4/2-F44,0)&gt;50000,1000+(MAX(D44-Inputs!$B$22-Tax!$B$4/2-F44,0)-50000)*0.06,MAX(MAX(D44-Inputs!$B$22-Tax!$B$4/2-F44,0),0)*0.02)))))</f>
        <v>0</v>
      </c>
      <c r="I44" s="21" t="n">
        <f aca="false">IF(E44=0,0,IF(MAX(E44-Inputs!$B$22-Tax!$B$4/2-G44,0)&gt;200000,Inputs!$B$24+(MAX(E44-Inputs!$B$22-Tax!$B$4/2-G44,0)-200000)*Inputs!$B$23,IF(MAX(E44-Inputs!$B$22-Tax!$B$4/2-G44,0)&gt;150000,9000+(MAX(E44-Inputs!$B$22-Tax!$B$4/2-G44,0)-150000)*0.14,IF(MAX(E44-Inputs!$B$22-Tax!$B$4/2-G44,0)&gt;100000,4000+(MAX(E44-Inputs!$B$22-Tax!$B$4/2-G44,0)-100000)*0.1,IF(MAX(E44-Inputs!$B$22-Tax!$B$4/2-G44,0)&gt;50000,1000+(MAX(E44-Inputs!$B$22-Tax!$B$4/2-G44,0)-50000)*0.06,MAX(MAX(E44-Inputs!$B$22-Tax!$B$4/2-G44,0),0)*0.02)))))</f>
        <v>0</v>
      </c>
      <c r="J44" s="21" t="n">
        <f aca="false">IF(D44&gt;0,Inputs!$B$22,0)+IF(E44&gt;0,Inputs!$B$22,0)</f>
        <v>0</v>
      </c>
      <c r="K44" s="21" t="n">
        <f aca="false">IF($A44&lt;Inputs!$B$45,Inputs!$B$31*(1+Inputs!$B$5)^($A44-Inputs!$B$44),0)</f>
        <v>0</v>
      </c>
      <c r="L44" s="21" t="n">
        <f aca="false">IF(AND($A44&gt;=Inputs!$B$47,$A44&lt;Inputs!$B$47+Inputs!$B$41),Inputs!$B$40*(1+Inputs!$B$8)^($A44-Inputs!$B$44),0)</f>
        <v>0</v>
      </c>
      <c r="M44" s="21" t="n">
        <f aca="false">IF($A44&gt;=Inputs!$B$45,Inputs!$B$32*(1+Inputs!$B$5)^($A44-Inputs!$B$44),0)</f>
        <v>2094349.79394417</v>
      </c>
      <c r="N44" s="21" t="n">
        <f aca="false">IF($A44&gt;=Inputs!$B$45,Inputs!$B$39,0)</f>
        <v>268000</v>
      </c>
      <c r="O44" s="21" t="n">
        <f aca="false">D44+E44-H44-I44-J44-K44-L44-M44+N44-Inputs!$B$42</f>
        <v>-1826349.79394417</v>
      </c>
      <c r="P44" s="21" t="n">
        <f aca="false">S43</f>
        <v>20144988.3067263</v>
      </c>
      <c r="Q44" s="21" t="n">
        <f aca="false">P44*Inputs!$B$35</f>
        <v>966959.438722864</v>
      </c>
      <c r="R44" s="21" t="n">
        <f aca="false">IF($A44=Inputs!$B$45,-Inputs!$B$38,0)</f>
        <v>0</v>
      </c>
      <c r="S44" s="21" t="n">
        <f aca="false">MAX(P44+Q44+O44+R44,0)</f>
        <v>19285597.951505</v>
      </c>
    </row>
    <row r="45" customFormat="false" ht="15" hidden="false" customHeight="false" outlineLevel="0" collapsed="false">
      <c r="A45" s="19" t="n">
        <v>2067</v>
      </c>
      <c r="B45" s="19" t="n">
        <f aca="false">$A45-1972</f>
        <v>95</v>
      </c>
      <c r="C45" s="19" t="n">
        <f aca="false">$A45-1977</f>
        <v>90</v>
      </c>
      <c r="D45" s="16" t="n">
        <f aca="false">IF($A45&lt;Inputs!$B$45,(Inputs!$B$27+Inputs!$B$28)*(1+Inputs!$B$6)^($A45-Inputs!$B$44),0)</f>
        <v>0</v>
      </c>
      <c r="E45" s="16" t="n">
        <f aca="false">IF($A45&lt;Inputs!$B$46,Inputs!$B$29*(1+Inputs!$B$7)^($A45-Inputs!$B$44),0)</f>
        <v>0</v>
      </c>
      <c r="F45" s="16" t="n">
        <f aca="false">(Inputs!$B$18+Inputs!$B$20+2*Inputs!$B$21)*(1+Inputs!$B$5)^($A45-Inputs!$B$44)</f>
        <v>1087115.22156814</v>
      </c>
      <c r="G45" s="16" t="n">
        <f aca="false">Inputs!$B$18*(1+Inputs!$B$5)^($A45-Inputs!$B$44)</f>
        <v>399067.612980708</v>
      </c>
      <c r="H45" s="16" t="n">
        <f aca="false">IF(D45=0,0,IF(MAX(D45-Inputs!$B$22-Tax!$B$4/2-F45,0)&gt;200000,Inputs!$B$24+(MAX(D45-Inputs!$B$22-Tax!$B$4/2-F45,0)-200000)*Inputs!$B$23,IF(MAX(D45-Inputs!$B$22-Tax!$B$4/2-F45,0)&gt;150000,9000+(MAX(D45-Inputs!$B$22-Tax!$B$4/2-F45,0)-150000)*0.14,IF(MAX(D45-Inputs!$B$22-Tax!$B$4/2-F45,0)&gt;100000,4000+(MAX(D45-Inputs!$B$22-Tax!$B$4/2-F45,0)-100000)*0.1,IF(MAX(D45-Inputs!$B$22-Tax!$B$4/2-F45,0)&gt;50000,1000+(MAX(D45-Inputs!$B$22-Tax!$B$4/2-F45,0)-50000)*0.06,MAX(MAX(D45-Inputs!$B$22-Tax!$B$4/2-F45,0),0)*0.02)))))</f>
        <v>0</v>
      </c>
      <c r="I45" s="16" t="n">
        <f aca="false">IF(E45=0,0,IF(MAX(E45-Inputs!$B$22-Tax!$B$4/2-G45,0)&gt;200000,Inputs!$B$24+(MAX(E45-Inputs!$B$22-Tax!$B$4/2-G45,0)-200000)*Inputs!$B$23,IF(MAX(E45-Inputs!$B$22-Tax!$B$4/2-G45,0)&gt;150000,9000+(MAX(E45-Inputs!$B$22-Tax!$B$4/2-G45,0)-150000)*0.14,IF(MAX(E45-Inputs!$B$22-Tax!$B$4/2-G45,0)&gt;100000,4000+(MAX(E45-Inputs!$B$22-Tax!$B$4/2-G45,0)-100000)*0.1,IF(MAX(E45-Inputs!$B$22-Tax!$B$4/2-G45,0)&gt;50000,1000+(MAX(E45-Inputs!$B$22-Tax!$B$4/2-G45,0)-50000)*0.06,MAX(MAX(E45-Inputs!$B$22-Tax!$B$4/2-G45,0),0)*0.02)))))</f>
        <v>0</v>
      </c>
      <c r="J45" s="16" t="n">
        <f aca="false">IF(D45&gt;0,Inputs!$B$22,0)+IF(E45&gt;0,Inputs!$B$22,0)</f>
        <v>0</v>
      </c>
      <c r="K45" s="16" t="n">
        <f aca="false">IF($A45&lt;Inputs!$B$45,Inputs!$B$31*(1+Inputs!$B$5)^($A45-Inputs!$B$44),0)</f>
        <v>0</v>
      </c>
      <c r="L45" s="16" t="n">
        <f aca="false">IF(AND($A45&gt;=Inputs!$B$47,$A45&lt;Inputs!$B$47+Inputs!$B$41),Inputs!$B$40*(1+Inputs!$B$8)^($A45-Inputs!$B$44),0)</f>
        <v>0</v>
      </c>
      <c r="M45" s="16" t="n">
        <f aca="false">IF($A45&gt;=Inputs!$B$45,Inputs!$B$32*(1+Inputs!$B$5)^($A45-Inputs!$B$44),0)</f>
        <v>2146708.53879278</v>
      </c>
      <c r="N45" s="16" t="n">
        <f aca="false">IF($A45&gt;=Inputs!$B$45,Inputs!$B$39,0)</f>
        <v>268000</v>
      </c>
      <c r="O45" s="16" t="n">
        <f aca="false">D45+E45-H45-I45-J45-K45-L45-M45+N45-Inputs!$B$42</f>
        <v>-1878708.53879278</v>
      </c>
      <c r="P45" s="16" t="n">
        <f aca="false">S44</f>
        <v>19285597.951505</v>
      </c>
      <c r="Q45" s="16" t="n">
        <f aca="false">P45*Inputs!$B$35</f>
        <v>925708.701672241</v>
      </c>
      <c r="R45" s="16" t="n">
        <f aca="false">IF($A45=Inputs!$B$45,-Inputs!$B$38,0)</f>
        <v>0</v>
      </c>
      <c r="S45" s="16" t="n">
        <f aca="false">MAX(P45+Q45+O45+R45,0)</f>
        <v>18332598.1143845</v>
      </c>
    </row>
    <row r="46" customFormat="false" ht="15" hidden="false" customHeight="false" outlineLevel="0" collapsed="false">
      <c r="A46" s="19" t="n">
        <v>2068</v>
      </c>
      <c r="B46" s="19" t="n">
        <f aca="false">$A46-1972</f>
        <v>96</v>
      </c>
      <c r="C46" s="19" t="n">
        <f aca="false">$A46-1977</f>
        <v>91</v>
      </c>
      <c r="D46" s="16" t="n">
        <f aca="false">IF($A46&lt;Inputs!$B$45,(Inputs!$B$27+Inputs!$B$28)*(1+Inputs!$B$6)^($A46-Inputs!$B$44),0)</f>
        <v>0</v>
      </c>
      <c r="E46" s="16" t="n">
        <f aca="false">IF($A46&lt;Inputs!$B$46,Inputs!$B$29*(1+Inputs!$B$7)^($A46-Inputs!$B$44),0)</f>
        <v>0</v>
      </c>
      <c r="F46" s="16" t="n">
        <f aca="false">(Inputs!$B$18+Inputs!$B$20+2*Inputs!$B$21)*(1+Inputs!$B$5)^($A46-Inputs!$B$44)</f>
        <v>1114293.10210734</v>
      </c>
      <c r="G46" s="16" t="n">
        <f aca="false">Inputs!$B$18*(1+Inputs!$B$5)^($A46-Inputs!$B$44)</f>
        <v>409044.303305226</v>
      </c>
      <c r="H46" s="16" t="n">
        <f aca="false">IF(D46=0,0,IF(MAX(D46-Inputs!$B$22-Tax!$B$4/2-F46,0)&gt;200000,Inputs!$B$24+(MAX(D46-Inputs!$B$22-Tax!$B$4/2-F46,0)-200000)*Inputs!$B$23,IF(MAX(D46-Inputs!$B$22-Tax!$B$4/2-F46,0)&gt;150000,9000+(MAX(D46-Inputs!$B$22-Tax!$B$4/2-F46,0)-150000)*0.14,IF(MAX(D46-Inputs!$B$22-Tax!$B$4/2-F46,0)&gt;100000,4000+(MAX(D46-Inputs!$B$22-Tax!$B$4/2-F46,0)-100000)*0.1,IF(MAX(D46-Inputs!$B$22-Tax!$B$4/2-F46,0)&gt;50000,1000+(MAX(D46-Inputs!$B$22-Tax!$B$4/2-F46,0)-50000)*0.06,MAX(MAX(D46-Inputs!$B$22-Tax!$B$4/2-F46,0),0)*0.02)))))</f>
        <v>0</v>
      </c>
      <c r="I46" s="16" t="n">
        <f aca="false">IF(E46=0,0,IF(MAX(E46-Inputs!$B$22-Tax!$B$4/2-G46,0)&gt;200000,Inputs!$B$24+(MAX(E46-Inputs!$B$22-Tax!$B$4/2-G46,0)-200000)*Inputs!$B$23,IF(MAX(E46-Inputs!$B$22-Tax!$B$4/2-G46,0)&gt;150000,9000+(MAX(E46-Inputs!$B$22-Tax!$B$4/2-G46,0)-150000)*0.14,IF(MAX(E46-Inputs!$B$22-Tax!$B$4/2-G46,0)&gt;100000,4000+(MAX(E46-Inputs!$B$22-Tax!$B$4/2-G46,0)-100000)*0.1,IF(MAX(E46-Inputs!$B$22-Tax!$B$4/2-G46,0)&gt;50000,1000+(MAX(E46-Inputs!$B$22-Tax!$B$4/2-G46,0)-50000)*0.06,MAX(MAX(E46-Inputs!$B$22-Tax!$B$4/2-G46,0),0)*0.02)))))</f>
        <v>0</v>
      </c>
      <c r="J46" s="16" t="n">
        <f aca="false">IF(D46&gt;0,Inputs!$B$22,0)+IF(E46&gt;0,Inputs!$B$22,0)</f>
        <v>0</v>
      </c>
      <c r="K46" s="16" t="n">
        <f aca="false">IF($A46&lt;Inputs!$B$45,Inputs!$B$31*(1+Inputs!$B$5)^($A46-Inputs!$B$44),0)</f>
        <v>0</v>
      </c>
      <c r="L46" s="16" t="n">
        <f aca="false">IF(AND($A46&gt;=Inputs!$B$47,$A46&lt;Inputs!$B$47+Inputs!$B$41),Inputs!$B$40*(1+Inputs!$B$8)^($A46-Inputs!$B$44),0)</f>
        <v>0</v>
      </c>
      <c r="M46" s="16" t="n">
        <f aca="false">IF($A46&gt;=Inputs!$B$45,Inputs!$B$32*(1+Inputs!$B$5)^($A46-Inputs!$B$44),0)</f>
        <v>2200376.25226259</v>
      </c>
      <c r="N46" s="16" t="n">
        <f aca="false">IF($A46&gt;=Inputs!$B$45,Inputs!$B$39,0)</f>
        <v>268000</v>
      </c>
      <c r="O46" s="16" t="n">
        <f aca="false">D46+E46-H46-I46-J46-K46-L46-M46+N46-Inputs!$B$42</f>
        <v>-1932376.25226259</v>
      </c>
      <c r="P46" s="16" t="n">
        <f aca="false">S45</f>
        <v>18332598.1143845</v>
      </c>
      <c r="Q46" s="16" t="n">
        <f aca="false">P46*Inputs!$B$35</f>
        <v>879964.709490456</v>
      </c>
      <c r="R46" s="16" t="n">
        <f aca="false">IF($A46=Inputs!$B$45,-Inputs!$B$38,0)</f>
        <v>0</v>
      </c>
      <c r="S46" s="16" t="n">
        <f aca="false">MAX(P46+Q46+O46+R46,0)</f>
        <v>17280186.5716124</v>
      </c>
    </row>
    <row r="47" customFormat="false" ht="15" hidden="false" customHeight="false" outlineLevel="0" collapsed="false">
      <c r="A47" s="19" t="n">
        <v>2069</v>
      </c>
      <c r="B47" s="19" t="n">
        <f aca="false">$A47-1972</f>
        <v>97</v>
      </c>
      <c r="C47" s="19" t="n">
        <f aca="false">$A47-1977</f>
        <v>92</v>
      </c>
      <c r="D47" s="16" t="n">
        <f aca="false">IF($A47&lt;Inputs!$B$45,(Inputs!$B$27+Inputs!$B$28)*(1+Inputs!$B$6)^($A47-Inputs!$B$44),0)</f>
        <v>0</v>
      </c>
      <c r="E47" s="16" t="n">
        <f aca="false">IF($A47&lt;Inputs!$B$46,Inputs!$B$29*(1+Inputs!$B$7)^($A47-Inputs!$B$44),0)</f>
        <v>0</v>
      </c>
      <c r="F47" s="16" t="n">
        <f aca="false">(Inputs!$B$18+Inputs!$B$20+2*Inputs!$B$21)*(1+Inputs!$B$5)^($A47-Inputs!$B$44)</f>
        <v>1142150.42966002</v>
      </c>
      <c r="G47" s="16" t="n">
        <f aca="false">Inputs!$B$18*(1+Inputs!$B$5)^($A47-Inputs!$B$44)</f>
        <v>419270.410887857</v>
      </c>
      <c r="H47" s="16" t="n">
        <f aca="false">IF(D47=0,0,IF(MAX(D47-Inputs!$B$22-Tax!$B$4/2-F47,0)&gt;200000,Inputs!$B$24+(MAX(D47-Inputs!$B$22-Tax!$B$4/2-F47,0)-200000)*Inputs!$B$23,IF(MAX(D47-Inputs!$B$22-Tax!$B$4/2-F47,0)&gt;150000,9000+(MAX(D47-Inputs!$B$22-Tax!$B$4/2-F47,0)-150000)*0.14,IF(MAX(D47-Inputs!$B$22-Tax!$B$4/2-F47,0)&gt;100000,4000+(MAX(D47-Inputs!$B$22-Tax!$B$4/2-F47,0)-100000)*0.1,IF(MAX(D47-Inputs!$B$22-Tax!$B$4/2-F47,0)&gt;50000,1000+(MAX(D47-Inputs!$B$22-Tax!$B$4/2-F47,0)-50000)*0.06,MAX(MAX(D47-Inputs!$B$22-Tax!$B$4/2-F47,0),0)*0.02)))))</f>
        <v>0</v>
      </c>
      <c r="I47" s="16" t="n">
        <f aca="false">IF(E47=0,0,IF(MAX(E47-Inputs!$B$22-Tax!$B$4/2-G47,0)&gt;200000,Inputs!$B$24+(MAX(E47-Inputs!$B$22-Tax!$B$4/2-G47,0)-200000)*Inputs!$B$23,IF(MAX(E47-Inputs!$B$22-Tax!$B$4/2-G47,0)&gt;150000,9000+(MAX(E47-Inputs!$B$22-Tax!$B$4/2-G47,0)-150000)*0.14,IF(MAX(E47-Inputs!$B$22-Tax!$B$4/2-G47,0)&gt;100000,4000+(MAX(E47-Inputs!$B$22-Tax!$B$4/2-G47,0)-100000)*0.1,IF(MAX(E47-Inputs!$B$22-Tax!$B$4/2-G47,0)&gt;50000,1000+(MAX(E47-Inputs!$B$22-Tax!$B$4/2-G47,0)-50000)*0.06,MAX(MAX(E47-Inputs!$B$22-Tax!$B$4/2-G47,0),0)*0.02)))))</f>
        <v>0</v>
      </c>
      <c r="J47" s="16" t="n">
        <f aca="false">IF(D47&gt;0,Inputs!$B$22,0)+IF(E47&gt;0,Inputs!$B$22,0)</f>
        <v>0</v>
      </c>
      <c r="K47" s="16" t="n">
        <f aca="false">IF($A47&lt;Inputs!$B$45,Inputs!$B$31*(1+Inputs!$B$5)^($A47-Inputs!$B$44),0)</f>
        <v>0</v>
      </c>
      <c r="L47" s="16" t="n">
        <f aca="false">IF(AND($A47&gt;=Inputs!$B$47,$A47&lt;Inputs!$B$47+Inputs!$B$41),Inputs!$B$40*(1+Inputs!$B$8)^($A47-Inputs!$B$44),0)</f>
        <v>0</v>
      </c>
      <c r="M47" s="16" t="n">
        <f aca="false">IF($A47&gt;=Inputs!$B$45,Inputs!$B$32*(1+Inputs!$B$5)^($A47-Inputs!$B$44),0)</f>
        <v>2255385.65856916</v>
      </c>
      <c r="N47" s="16" t="n">
        <f aca="false">IF($A47&gt;=Inputs!$B$45,Inputs!$B$39,0)</f>
        <v>268000</v>
      </c>
      <c r="O47" s="16" t="n">
        <f aca="false">D47+E47-H47-I47-J47-K47-L47-M47+N47-Inputs!$B$42</f>
        <v>-1987385.65856916</v>
      </c>
      <c r="P47" s="16" t="n">
        <f aca="false">S46</f>
        <v>17280186.5716124</v>
      </c>
      <c r="Q47" s="16" t="n">
        <f aca="false">P47*Inputs!$B$35</f>
        <v>829448.955437393</v>
      </c>
      <c r="R47" s="16" t="n">
        <f aca="false">IF($A47=Inputs!$B$45,-Inputs!$B$38,0)</f>
        <v>0</v>
      </c>
      <c r="S47" s="16" t="n">
        <f aca="false">MAX(P47+Q47+O47+R47,0)</f>
        <v>16122249.8684806</v>
      </c>
    </row>
    <row r="48" customFormat="false" ht="15" hidden="false" customHeight="false" outlineLevel="0" collapsed="false">
      <c r="A48" s="19" t="n">
        <v>2070</v>
      </c>
      <c r="B48" s="19" t="n">
        <f aca="false">$A48-1972</f>
        <v>98</v>
      </c>
      <c r="C48" s="19" t="n">
        <f aca="false">$A48-1977</f>
        <v>93</v>
      </c>
      <c r="D48" s="16" t="n">
        <f aca="false">IF($A48&lt;Inputs!$B$45,(Inputs!$B$27+Inputs!$B$28)*(1+Inputs!$B$6)^($A48-Inputs!$B$44),0)</f>
        <v>0</v>
      </c>
      <c r="E48" s="16" t="n">
        <f aca="false">IF($A48&lt;Inputs!$B$46,Inputs!$B$29*(1+Inputs!$B$7)^($A48-Inputs!$B$44),0)</f>
        <v>0</v>
      </c>
      <c r="F48" s="16" t="n">
        <f aca="false">(Inputs!$B$18+Inputs!$B$20+2*Inputs!$B$21)*(1+Inputs!$B$5)^($A48-Inputs!$B$44)</f>
        <v>1170704.19040152</v>
      </c>
      <c r="G48" s="16" t="n">
        <f aca="false">Inputs!$B$18*(1+Inputs!$B$5)^($A48-Inputs!$B$44)</f>
        <v>429752.171160053</v>
      </c>
      <c r="H48" s="16" t="n">
        <f aca="false">IF(D48=0,0,IF(MAX(D48-Inputs!$B$22-Tax!$B$4/2-F48,0)&gt;200000,Inputs!$B$24+(MAX(D48-Inputs!$B$22-Tax!$B$4/2-F48,0)-200000)*Inputs!$B$23,IF(MAX(D48-Inputs!$B$22-Tax!$B$4/2-F48,0)&gt;150000,9000+(MAX(D48-Inputs!$B$22-Tax!$B$4/2-F48,0)-150000)*0.14,IF(MAX(D48-Inputs!$B$22-Tax!$B$4/2-F48,0)&gt;100000,4000+(MAX(D48-Inputs!$B$22-Tax!$B$4/2-F48,0)-100000)*0.1,IF(MAX(D48-Inputs!$B$22-Tax!$B$4/2-F48,0)&gt;50000,1000+(MAX(D48-Inputs!$B$22-Tax!$B$4/2-F48,0)-50000)*0.06,MAX(MAX(D48-Inputs!$B$22-Tax!$B$4/2-F48,0),0)*0.02)))))</f>
        <v>0</v>
      </c>
      <c r="I48" s="16" t="n">
        <f aca="false">IF(E48=0,0,IF(MAX(E48-Inputs!$B$22-Tax!$B$4/2-G48,0)&gt;200000,Inputs!$B$24+(MAX(E48-Inputs!$B$22-Tax!$B$4/2-G48,0)-200000)*Inputs!$B$23,IF(MAX(E48-Inputs!$B$22-Tax!$B$4/2-G48,0)&gt;150000,9000+(MAX(E48-Inputs!$B$22-Tax!$B$4/2-G48,0)-150000)*0.14,IF(MAX(E48-Inputs!$B$22-Tax!$B$4/2-G48,0)&gt;100000,4000+(MAX(E48-Inputs!$B$22-Tax!$B$4/2-G48,0)-100000)*0.1,IF(MAX(E48-Inputs!$B$22-Tax!$B$4/2-G48,0)&gt;50000,1000+(MAX(E48-Inputs!$B$22-Tax!$B$4/2-G48,0)-50000)*0.06,MAX(MAX(E48-Inputs!$B$22-Tax!$B$4/2-G48,0),0)*0.02)))))</f>
        <v>0</v>
      </c>
      <c r="J48" s="16" t="n">
        <f aca="false">IF(D48&gt;0,Inputs!$B$22,0)+IF(E48&gt;0,Inputs!$B$22,0)</f>
        <v>0</v>
      </c>
      <c r="K48" s="16" t="n">
        <f aca="false">IF($A48&lt;Inputs!$B$45,Inputs!$B$31*(1+Inputs!$B$5)^($A48-Inputs!$B$44),0)</f>
        <v>0</v>
      </c>
      <c r="L48" s="16" t="n">
        <f aca="false">IF(AND($A48&gt;=Inputs!$B$47,$A48&lt;Inputs!$B$47+Inputs!$B$41),Inputs!$B$40*(1+Inputs!$B$8)^($A48-Inputs!$B$44),0)</f>
        <v>0</v>
      </c>
      <c r="M48" s="16" t="n">
        <f aca="false">IF($A48&gt;=Inputs!$B$45,Inputs!$B$32*(1+Inputs!$B$5)^($A48-Inputs!$B$44),0)</f>
        <v>2311770.30003339</v>
      </c>
      <c r="N48" s="16" t="n">
        <f aca="false">IF($A48&gt;=Inputs!$B$45,Inputs!$B$39,0)</f>
        <v>268000</v>
      </c>
      <c r="O48" s="16" t="n">
        <f aca="false">D48+E48-H48-I48-J48-K48-L48-M48+N48-Inputs!$B$42</f>
        <v>-2043770.30003339</v>
      </c>
      <c r="P48" s="16" t="n">
        <f aca="false">S47</f>
        <v>16122249.8684806</v>
      </c>
      <c r="Q48" s="16" t="n">
        <f aca="false">P48*Inputs!$B$35</f>
        <v>773867.993687068</v>
      </c>
      <c r="R48" s="16" t="n">
        <f aca="false">IF($A48=Inputs!$B$45,-Inputs!$B$38,0)</f>
        <v>0</v>
      </c>
      <c r="S48" s="16" t="n">
        <f aca="false">MAX(P48+Q48+O48+R48,0)</f>
        <v>14852347.5621343</v>
      </c>
    </row>
    <row r="49" customFormat="false" ht="15" hidden="false" customHeight="false" outlineLevel="0" collapsed="false">
      <c r="A49" s="19" t="n">
        <v>2071</v>
      </c>
      <c r="B49" s="19" t="n">
        <f aca="false">$A49-1972</f>
        <v>99</v>
      </c>
      <c r="C49" s="19" t="n">
        <f aca="false">$A49-1977</f>
        <v>94</v>
      </c>
      <c r="D49" s="16" t="n">
        <f aca="false">IF($A49&lt;Inputs!$B$45,(Inputs!$B$27+Inputs!$B$28)*(1+Inputs!$B$6)^($A49-Inputs!$B$44),0)</f>
        <v>0</v>
      </c>
      <c r="E49" s="16" t="n">
        <f aca="false">IF($A49&lt;Inputs!$B$46,Inputs!$B$29*(1+Inputs!$B$7)^($A49-Inputs!$B$44),0)</f>
        <v>0</v>
      </c>
      <c r="F49" s="16" t="n">
        <f aca="false">(Inputs!$B$18+Inputs!$B$20+2*Inputs!$B$21)*(1+Inputs!$B$5)^($A49-Inputs!$B$44)</f>
        <v>1199971.79516156</v>
      </c>
      <c r="G49" s="16" t="n">
        <f aca="false">Inputs!$B$18*(1+Inputs!$B$5)^($A49-Inputs!$B$44)</f>
        <v>440495.975439054</v>
      </c>
      <c r="H49" s="16" t="n">
        <f aca="false">IF(D49=0,0,IF(MAX(D49-Inputs!$B$22-Tax!$B$4/2-F49,0)&gt;200000,Inputs!$B$24+(MAX(D49-Inputs!$B$22-Tax!$B$4/2-F49,0)-200000)*Inputs!$B$23,IF(MAX(D49-Inputs!$B$22-Tax!$B$4/2-F49,0)&gt;150000,9000+(MAX(D49-Inputs!$B$22-Tax!$B$4/2-F49,0)-150000)*0.14,IF(MAX(D49-Inputs!$B$22-Tax!$B$4/2-F49,0)&gt;100000,4000+(MAX(D49-Inputs!$B$22-Tax!$B$4/2-F49,0)-100000)*0.1,IF(MAX(D49-Inputs!$B$22-Tax!$B$4/2-F49,0)&gt;50000,1000+(MAX(D49-Inputs!$B$22-Tax!$B$4/2-F49,0)-50000)*0.06,MAX(MAX(D49-Inputs!$B$22-Tax!$B$4/2-F49,0),0)*0.02)))))</f>
        <v>0</v>
      </c>
      <c r="I49" s="16" t="n">
        <f aca="false">IF(E49=0,0,IF(MAX(E49-Inputs!$B$22-Tax!$B$4/2-G49,0)&gt;200000,Inputs!$B$24+(MAX(E49-Inputs!$B$22-Tax!$B$4/2-G49,0)-200000)*Inputs!$B$23,IF(MAX(E49-Inputs!$B$22-Tax!$B$4/2-G49,0)&gt;150000,9000+(MAX(E49-Inputs!$B$22-Tax!$B$4/2-G49,0)-150000)*0.14,IF(MAX(E49-Inputs!$B$22-Tax!$B$4/2-G49,0)&gt;100000,4000+(MAX(E49-Inputs!$B$22-Tax!$B$4/2-G49,0)-100000)*0.1,IF(MAX(E49-Inputs!$B$22-Tax!$B$4/2-G49,0)&gt;50000,1000+(MAX(E49-Inputs!$B$22-Tax!$B$4/2-G49,0)-50000)*0.06,MAX(MAX(E49-Inputs!$B$22-Tax!$B$4/2-G49,0),0)*0.02)))))</f>
        <v>0</v>
      </c>
      <c r="J49" s="16" t="n">
        <f aca="false">IF(D49&gt;0,Inputs!$B$22,0)+IF(E49&gt;0,Inputs!$B$22,0)</f>
        <v>0</v>
      </c>
      <c r="K49" s="16" t="n">
        <f aca="false">IF($A49&lt;Inputs!$B$45,Inputs!$B$31*(1+Inputs!$B$5)^($A49-Inputs!$B$44),0)</f>
        <v>0</v>
      </c>
      <c r="L49" s="16" t="n">
        <f aca="false">IF(AND($A49&gt;=Inputs!$B$47,$A49&lt;Inputs!$B$47+Inputs!$B$41),Inputs!$B$40*(1+Inputs!$B$8)^($A49-Inputs!$B$44),0)</f>
        <v>0</v>
      </c>
      <c r="M49" s="16" t="n">
        <f aca="false">IF($A49&gt;=Inputs!$B$45,Inputs!$B$32*(1+Inputs!$B$5)^($A49-Inputs!$B$44),0)</f>
        <v>2369564.55753422</v>
      </c>
      <c r="N49" s="16" t="n">
        <f aca="false">IF($A49&gt;=Inputs!$B$45,Inputs!$B$39,0)</f>
        <v>268000</v>
      </c>
      <c r="O49" s="16" t="n">
        <f aca="false">D49+E49-H49-I49-J49-K49-L49-M49+N49-Inputs!$B$42</f>
        <v>-2101564.55753422</v>
      </c>
      <c r="P49" s="16" t="n">
        <f aca="false">S48</f>
        <v>14852347.5621343</v>
      </c>
      <c r="Q49" s="16" t="n">
        <f aca="false">P49*Inputs!$B$35</f>
        <v>712912.682982445</v>
      </c>
      <c r="R49" s="16" t="n">
        <f aca="false">IF($A49=Inputs!$B$45,-Inputs!$B$38,0)</f>
        <v>0</v>
      </c>
      <c r="S49" s="16" t="n">
        <f aca="false">MAX(P49+Q49+O49+R49,0)</f>
        <v>13463695.6875825</v>
      </c>
    </row>
    <row r="50" customFormat="false" ht="15" hidden="false" customHeight="false" outlineLevel="0" collapsed="false">
      <c r="A50" s="20" t="n">
        <v>2072</v>
      </c>
      <c r="B50" s="20" t="n">
        <f aca="false">$A50-1972</f>
        <v>100</v>
      </c>
      <c r="C50" s="20" t="n">
        <f aca="false">$A50-1977</f>
        <v>95</v>
      </c>
      <c r="D50" s="21" t="n">
        <f aca="false">IF($A50&lt;Inputs!$B$45,(Inputs!$B$27+Inputs!$B$28)*(1+Inputs!$B$6)^($A50-Inputs!$B$44),0)</f>
        <v>0</v>
      </c>
      <c r="E50" s="21" t="n">
        <f aca="false">IF($A50&lt;Inputs!$B$46,Inputs!$B$29*(1+Inputs!$B$7)^($A50-Inputs!$B$44),0)</f>
        <v>0</v>
      </c>
      <c r="F50" s="21" t="n">
        <f aca="false">(Inputs!$B$18+Inputs!$B$20+2*Inputs!$B$21)*(1+Inputs!$B$5)^($A50-Inputs!$B$44)</f>
        <v>1229971.0900406</v>
      </c>
      <c r="G50" s="21" t="n">
        <f aca="false">Inputs!$B$18*(1+Inputs!$B$5)^($A50-Inputs!$B$44)</f>
        <v>451508.374825031</v>
      </c>
      <c r="H50" s="21" t="n">
        <f aca="false">IF(D50=0,0,IF(MAX(D50-Inputs!$B$22-Tax!$B$4/2-F50,0)&gt;200000,Inputs!$B$24+(MAX(D50-Inputs!$B$22-Tax!$B$4/2-F50,0)-200000)*Inputs!$B$23,IF(MAX(D50-Inputs!$B$22-Tax!$B$4/2-F50,0)&gt;150000,9000+(MAX(D50-Inputs!$B$22-Tax!$B$4/2-F50,0)-150000)*0.14,IF(MAX(D50-Inputs!$B$22-Tax!$B$4/2-F50,0)&gt;100000,4000+(MAX(D50-Inputs!$B$22-Tax!$B$4/2-F50,0)-100000)*0.1,IF(MAX(D50-Inputs!$B$22-Tax!$B$4/2-F50,0)&gt;50000,1000+(MAX(D50-Inputs!$B$22-Tax!$B$4/2-F50,0)-50000)*0.06,MAX(MAX(D50-Inputs!$B$22-Tax!$B$4/2-F50,0),0)*0.02)))))</f>
        <v>0</v>
      </c>
      <c r="I50" s="21" t="n">
        <f aca="false">IF(E50=0,0,IF(MAX(E50-Inputs!$B$22-Tax!$B$4/2-G50,0)&gt;200000,Inputs!$B$24+(MAX(E50-Inputs!$B$22-Tax!$B$4/2-G50,0)-200000)*Inputs!$B$23,IF(MAX(E50-Inputs!$B$22-Tax!$B$4/2-G50,0)&gt;150000,9000+(MAX(E50-Inputs!$B$22-Tax!$B$4/2-G50,0)-150000)*0.14,IF(MAX(E50-Inputs!$B$22-Tax!$B$4/2-G50,0)&gt;100000,4000+(MAX(E50-Inputs!$B$22-Tax!$B$4/2-G50,0)-100000)*0.1,IF(MAX(E50-Inputs!$B$22-Tax!$B$4/2-G50,0)&gt;50000,1000+(MAX(E50-Inputs!$B$22-Tax!$B$4/2-G50,0)-50000)*0.06,MAX(MAX(E50-Inputs!$B$22-Tax!$B$4/2-G50,0),0)*0.02)))))</f>
        <v>0</v>
      </c>
      <c r="J50" s="21" t="n">
        <f aca="false">IF(D50&gt;0,Inputs!$B$22,0)+IF(E50&gt;0,Inputs!$B$22,0)</f>
        <v>0</v>
      </c>
      <c r="K50" s="21" t="n">
        <f aca="false">IF($A50&lt;Inputs!$B$45,Inputs!$B$31*(1+Inputs!$B$5)^($A50-Inputs!$B$44),0)</f>
        <v>0</v>
      </c>
      <c r="L50" s="21" t="n">
        <f aca="false">IF(AND($A50&gt;=Inputs!$B$47,$A50&lt;Inputs!$B$47+Inputs!$B$41),Inputs!$B$40*(1+Inputs!$B$8)^($A50-Inputs!$B$44),0)</f>
        <v>0</v>
      </c>
      <c r="M50" s="21" t="n">
        <f aca="false">IF($A50&gt;=Inputs!$B$45,Inputs!$B$32*(1+Inputs!$B$5)^($A50-Inputs!$B$44),0)</f>
        <v>2428803.67147258</v>
      </c>
      <c r="N50" s="21" t="n">
        <f aca="false">IF($A50&gt;=Inputs!$B$45,Inputs!$B$39,0)</f>
        <v>268000</v>
      </c>
      <c r="O50" s="21" t="n">
        <f aca="false">D50+E50-H50-I50-J50-K50-L50-M50+N50-Inputs!$B$42</f>
        <v>-2160803.67147258</v>
      </c>
      <c r="P50" s="21" t="n">
        <f aca="false">S49</f>
        <v>13463695.6875825</v>
      </c>
      <c r="Q50" s="21" t="n">
        <f aca="false">P50*Inputs!$B$35</f>
        <v>646257.393003959</v>
      </c>
      <c r="R50" s="21" t="n">
        <f aca="false">IF($A50=Inputs!$B$45,-Inputs!$B$38,0)</f>
        <v>0</v>
      </c>
      <c r="S50" s="21" t="n">
        <f aca="false">MAX(P50+Q50+O50+R50,0)</f>
        <v>11949149.4091139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15" hidden="false" customHeight="false" outlineLevel="0" collapsed="false">
      <c r="A4" s="3" t="s">
        <v>156</v>
      </c>
      <c r="B4" s="4"/>
    </row>
    <row r="5" customFormat="false" ht="15" hidden="false" customHeight="false" outlineLevel="0" collapsed="false">
      <c r="A5" s="5" t="s">
        <v>157</v>
      </c>
      <c r="B5" s="22" t="n">
        <f aca="false">BalanceSheet!B33</f>
        <v>24405000</v>
      </c>
    </row>
    <row r="6" customFormat="false" ht="15" hidden="false" customHeight="false" outlineLevel="0" collapsed="false">
      <c r="A6" s="5" t="s">
        <v>158</v>
      </c>
      <c r="B6" s="22" t="n">
        <f aca="false">BalanceSheet!$B$37</f>
        <v>9790000</v>
      </c>
    </row>
    <row r="7" customFormat="false" ht="15" hidden="false" customHeight="false" outlineLevel="0" collapsed="false">
      <c r="A7" s="5" t="s">
        <v>159</v>
      </c>
      <c r="B7" s="22" t="n">
        <f aca="false">Tax!B27-Inputs!$B$42</f>
        <v>718230</v>
      </c>
    </row>
    <row r="8" customFormat="false" ht="15" hidden="false" customHeight="false" outlineLevel="0" collapsed="false">
      <c r="A8" s="5" t="s">
        <v>160</v>
      </c>
      <c r="B8" s="23" t="n">
        <f aca="false">BalanceSheet!B7/(Inputs!$B$31/12)</f>
        <v>30.4878048780488</v>
      </c>
    </row>
    <row r="9" customFormat="false" ht="15" hidden="false" customHeight="false" outlineLevel="0" collapsed="false">
      <c r="A9" s="3" t="s">
        <v>161</v>
      </c>
      <c r="B9" s="4"/>
    </row>
    <row r="10" customFormat="false" ht="15" hidden="false" customHeight="false" outlineLevel="0" collapsed="false">
      <c r="A10" s="5" t="s">
        <v>162</v>
      </c>
      <c r="B10" s="22" t="n">
        <f aca="false">Tax!B15</f>
        <v>181770</v>
      </c>
    </row>
    <row r="11" customFormat="false" ht="15" hidden="false" customHeight="false" outlineLevel="0" collapsed="false">
      <c r="A11" s="5" t="s">
        <v>163</v>
      </c>
      <c r="B11" s="22" t="n">
        <f aca="false">Tax!B16</f>
        <v>199770</v>
      </c>
    </row>
    <row r="12" customFormat="false" ht="15" hidden="false" customHeight="false" outlineLevel="0" collapsed="false">
      <c r="A12" s="5" t="s">
        <v>164</v>
      </c>
      <c r="B12" s="22" t="n">
        <f aca="false">Tax!B17</f>
        <v>18000</v>
      </c>
    </row>
    <row r="13" customFormat="false" ht="15" hidden="false" customHeight="false" outlineLevel="0" collapsed="false">
      <c r="A13" s="3" t="s">
        <v>165</v>
      </c>
      <c r="B13" s="4"/>
    </row>
    <row r="14" customFormat="false" ht="15" hidden="false" customHeight="false" outlineLevel="0" collapsed="false">
      <c r="A14" s="5" t="s">
        <v>166</v>
      </c>
      <c r="B14" s="22" t="n">
        <f aca="false">INDEX(Projection!S:S,MATCH(Inputs!$B$45,Projection!A:A,0))</f>
        <v>21594064.3451817</v>
      </c>
    </row>
    <row r="15" customFormat="false" ht="15" hidden="false" customHeight="false" outlineLevel="0" collapsed="false">
      <c r="A15" s="5" t="s">
        <v>167</v>
      </c>
      <c r="B15" s="22" t="n">
        <f aca="false">INDEX(Projection!S:S,MATCH(Inputs!$B$48,Projection!A:A,0))</f>
        <v>19285597.951505</v>
      </c>
    </row>
    <row r="16" customFormat="false" ht="15" hidden="false" customHeight="false" outlineLevel="0" collapsed="false">
      <c r="A16" s="5" t="s">
        <v>168</v>
      </c>
      <c r="B16" s="22" t="n">
        <f aca="false">INDEX(Projection!S:S,MATCH(Inputs!$B$49,Projection!A:A,0))</f>
        <v>11949149.4091139</v>
      </c>
    </row>
    <row r="17" customFormat="false" ht="15" hidden="false" customHeight="false" outlineLevel="0" collapsed="false">
      <c r="A17" s="5" t="s">
        <v>169</v>
      </c>
      <c r="B17" s="22" t="n">
        <f aca="false">INDEX(Projection!S:S,MATCH(Inputs!$B$45,Projection!A:A,0))/(1+Inputs!$B$5)^(Inputs!$B$45-Inputs!$B$44)</f>
        <v>16457803.4665546</v>
      </c>
    </row>
    <row r="18" customFormat="false" ht="15" hidden="false" customHeight="false" outlineLevel="0" collapsed="false">
      <c r="A18" s="5" t="s">
        <v>170</v>
      </c>
      <c r="B18" s="22" t="n">
        <f aca="false">780000*(1-(1+0.02)^-29)/0.02</f>
        <v>17038620.0363791</v>
      </c>
    </row>
    <row r="19" customFormat="false" ht="15" hidden="false" customHeight="false" outlineLevel="0" collapsed="false">
      <c r="A19" s="5" t="s">
        <v>171</v>
      </c>
      <c r="B19" s="24" t="n">
        <f aca="false">B17/B18</f>
        <v>0.965911759955651</v>
      </c>
    </row>
    <row r="20" customFormat="false" ht="15" hidden="false" customHeight="false" outlineLevel="0" collapsed="false">
      <c r="A20" s="5" t="s">
        <v>172</v>
      </c>
      <c r="B20" s="22" t="n">
        <f aca="false">SUM(Projection!L4:L50)</f>
        <v>2851147.6875</v>
      </c>
    </row>
    <row r="21" customFormat="false" ht="15" hidden="false" customHeight="false" outlineLevel="0" collapsed="false">
      <c r="A21" s="5" t="s">
        <v>173</v>
      </c>
      <c r="B21" s="25" t="str">
        <f aca="false">IF(INDEX(Projection!S:S,MATCH(Inputs!$B$48,Projection!A:A,0))&gt;0,"YES","NO")</f>
        <v>YES</v>
      </c>
    </row>
    <row r="22" customFormat="false" ht="15" hidden="false" customHeight="false" outlineLevel="0" collapsed="false">
      <c r="A22" s="5" t="s">
        <v>174</v>
      </c>
      <c r="B22" s="25" t="str">
        <f aca="false">IF(INDEX(Projection!S:S,MATCH(Inputs!$B$49,Projection!A:A,0))&gt;0,"YES","NO")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2026-09-27T10:19:27Z</dcterms:created>
  <dc:creator>openpyxl</dc:creator>
  <dc:description/>
  <dc:language>en-US</dc:language>
  <cp:lastModifiedBy/>
  <dcterms:modified xsi:type="dcterms:W3CDTF">2026-09-27T10:19:27Z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