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BalanceSheet" sheetId="2" state="visible" r:id="rId4"/>
    <sheet name="Tax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<sst xmlns="http://schemas.openxmlformats.org/spreadsheetml/2006/main" count="129" uniqueCount="117">
  <si>
    <t xml:space="preserve">Wong Family model — INPUTS</t>
  </si>
  <si>
    <t xml:space="preserve">Blue = hardcoded input. Edit only blue cells. Source in column D.</t>
  </si>
  <si>
    <t xml:space="preserve">ECONOMIC</t>
  </si>
  <si>
    <t xml:space="preserve">CPI inflation</t>
  </si>
  <si>
    <t xml:space="preserve">Pete lock table; HK 2006-25 avg 2.52%</t>
  </si>
  <si>
    <t xml:space="preserve">Wage growth — Adrian</t>
  </si>
  <si>
    <t xml:space="preserve">Pete lock table</t>
  </si>
  <si>
    <t xml:space="preserve">Wage growth — Carmen</t>
  </si>
  <si>
    <t xml:space="preserve">Education escalation (overseas)</t>
  </si>
  <si>
    <t xml:space="preserve">RETURNS (nominal)</t>
  </si>
  <si>
    <t xml:space="preserve">Equities</t>
  </si>
  <si>
    <t xml:space="preserve">Fahtai 27 Sep: conservative vs Pete's 7.0%</t>
  </si>
  <si>
    <t xml:space="preserve">Equity volatility</t>
  </si>
  <si>
    <t xml:space="preserve">Pete lock table 16-18%</t>
  </si>
  <si>
    <t xml:space="preserve">Bonds / IG</t>
  </si>
  <si>
    <t xml:space="preserve">Treasury ladder</t>
  </si>
  <si>
    <t xml:space="preserve">held to maturity, vol ~2%</t>
  </si>
  <si>
    <t xml:space="preserve">MPF</t>
  </si>
  <si>
    <t xml:space="preserve">Cash — time deposits</t>
  </si>
  <si>
    <t xml:space="preserve">Pete: 3.0% 2027-28 -&gt; 2.5% by 2031</t>
  </si>
  <si>
    <t xml:space="preserve">Cash — idle balances</t>
  </si>
  <si>
    <t xml:space="preserve">TAX 2026/27</t>
  </si>
  <si>
    <t xml:space="preserve">Basic allowance</t>
  </si>
  <si>
    <t xml:space="preserve">IR (Amendment) Ordinance 2026</t>
  </si>
  <si>
    <t xml:space="preserve">Married allowance</t>
  </si>
  <si>
    <t xml:space="preserve">Child allowance</t>
  </si>
  <si>
    <t xml:space="preserve">Dependent parent 60+ (each)</t>
  </si>
  <si>
    <t xml:space="preserve">2 parents assumed, claimed by Adrian</t>
  </si>
  <si>
    <t xml:space="preserve">MPF deduction cap</t>
  </si>
  <si>
    <t xml:space="preserve">per person</t>
  </si>
  <si>
    <t xml:space="preserve">Top marginal rate</t>
  </si>
  <si>
    <t xml:space="preserve">progressive 2/6/10/14 then 17</t>
  </si>
  <si>
    <t xml:space="preserve">Tax on first 200,000</t>
  </si>
  <si>
    <t xml:space="preserve">2%+6%+10%+14% on 50k bands</t>
  </si>
  <si>
    <t xml:space="preserve">Mortgage rate (for HLI deduction)</t>
  </si>
  <si>
    <t xml:space="preserve">FAMILY</t>
  </si>
  <si>
    <t xml:space="preserve">Adrian's salary</t>
  </si>
  <si>
    <t xml:space="preserve">case</t>
  </si>
  <si>
    <t xml:space="preserve">Adrian's bonus (planning = low end)</t>
  </si>
  <si>
    <t xml:space="preserve">case 150-300k; conservative</t>
  </si>
  <si>
    <t xml:space="preserve">Carmen's salary / dividend</t>
  </si>
  <si>
    <t xml:space="preserve">case; treated as all salary</t>
  </si>
  <si>
    <t xml:space="preserve">Ryan's salary (EXCLUDED from base case)</t>
  </si>
  <si>
    <t xml:space="preserve">case; Goal 3 treats him separately</t>
  </si>
  <si>
    <t xml:space="preserve">Household expenses (annual)</t>
  </si>
  <si>
    <t xml:space="preserve">case 82,000/month</t>
  </si>
  <si>
    <t xml:space="preserve">Retirement spending (today money)</t>
  </si>
  <si>
    <t xml:space="preserve">Retirement income floor %</t>
  </si>
  <si>
    <t xml:space="preserve">Pete, C&amp;SD HES 2024/25 top quartile</t>
  </si>
  <si>
    <t xml:space="preserve">DATES</t>
  </si>
  <si>
    <t xml:space="preserve">Base year</t>
  </si>
  <si>
    <t xml:space="preserve">model start</t>
  </si>
  <si>
    <t xml:space="preserve">Adrian retires (age 65)</t>
  </si>
  <si>
    <t xml:space="preserve">Carmen retires (age 62)</t>
  </si>
  <si>
    <t xml:space="preserve">Chloe starts university</t>
  </si>
  <si>
    <t xml:space="preserve">age 18</t>
  </si>
  <si>
    <t xml:space="preserve">Carmen age 89</t>
  </si>
  <si>
    <t xml:space="preserve">base horizon</t>
  </si>
  <si>
    <t xml:space="preserve">Carmen age 95</t>
  </si>
  <si>
    <t xml:space="preserve">stress horizon</t>
  </si>
  <si>
    <t xml:space="preserve">Balance sheet — case validation</t>
  </si>
  <si>
    <t xml:space="preserve">LIQUID</t>
  </si>
  <si>
    <t xml:space="preserve">Savings and current accounts</t>
  </si>
  <si>
    <t xml:space="preserve">Time deposits</t>
  </si>
  <si>
    <t xml:space="preserve">Money market / short bond fund</t>
  </si>
  <si>
    <t xml:space="preserve">Total liquid</t>
  </si>
  <si>
    <t xml:space="preserve">INVESTMENT</t>
  </si>
  <si>
    <t xml:space="preserve">HK equity funds</t>
  </si>
  <si>
    <t xml:space="preserve">Global equity funds</t>
  </si>
  <si>
    <t xml:space="preserve">Investment-grade bond funds</t>
  </si>
  <si>
    <t xml:space="preserve">ESG / sustainable equity funds</t>
  </si>
  <si>
    <t xml:space="preserve">Green / sustainable bond products</t>
  </si>
  <si>
    <t xml:space="preserve">Listed stocks and REITs</t>
  </si>
  <si>
    <t xml:space="preserve">Adrian's MPF</t>
  </si>
  <si>
    <t xml:space="preserve">Carmen's MPF</t>
  </si>
  <si>
    <t xml:space="preserve">Ryan's MPF</t>
  </si>
  <si>
    <t xml:space="preserve">Digital assets (all Ryan)</t>
  </si>
  <si>
    <t xml:space="preserve">Cash value of life policies</t>
  </si>
  <si>
    <t xml:space="preserve">Total investment</t>
  </si>
  <si>
    <t xml:space="preserve">FIXED</t>
  </si>
  <si>
    <t xml:space="preserve">Residential property</t>
  </si>
  <si>
    <t xml:space="preserve">Carmen's business</t>
  </si>
  <si>
    <t xml:space="preserve">Motor vehicle</t>
  </si>
  <si>
    <t xml:space="preserve">Total fixed</t>
  </si>
  <si>
    <t xml:space="preserve">LIABILITIES</t>
  </si>
  <si>
    <t xml:space="preserve">Mortgage</t>
  </si>
  <si>
    <t xml:space="preserve">Business term loan</t>
  </si>
  <si>
    <t xml:space="preserve">Credit card / revolving</t>
  </si>
  <si>
    <t xml:space="preserve">Total liabilities</t>
  </si>
  <si>
    <t xml:space="preserve">TOTAL ASSETS</t>
  </si>
  <si>
    <t xml:space="preserve">NET WORTH</t>
  </si>
  <si>
    <t xml:space="preserve">CHECK vs case (should be 0)</t>
  </si>
  <si>
    <t xml:space="preserve">Parents' investable pool (ex Ryan's MPF and digital)</t>
  </si>
  <si>
    <t xml:space="preserve">Salaries tax 2026/27 — separate vs joint assessment</t>
  </si>
  <si>
    <t xml:space="preserve">Confirms Pete: separate beats joint by exactly HK$18,000</t>
  </si>
  <si>
    <t xml:space="preserve">HLI total (mortgage x rate)</t>
  </si>
  <si>
    <t xml:space="preserve">Adrian</t>
  </si>
  <si>
    <t xml:space="preserve">Carmen</t>
  </si>
  <si>
    <t xml:space="preserve">Joint</t>
  </si>
  <si>
    <t xml:space="preserve">Ryan</t>
  </si>
  <si>
    <t xml:space="preserve">Income</t>
  </si>
  <si>
    <t xml:space="preserve">less MPF</t>
  </si>
  <si>
    <t xml:space="preserve">less home loan int</t>
  </si>
  <si>
    <t xml:space="preserve">Net income</t>
  </si>
  <si>
    <t xml:space="preserve">less allowances</t>
  </si>
  <si>
    <t xml:space="preserve">Net chargeable income</t>
  </si>
  <si>
    <t xml:space="preserve">TAX (progressive)</t>
  </si>
  <si>
    <t xml:space="preserve">COUPLE — separate</t>
  </si>
  <si>
    <t xml:space="preserve">COUPLE — joint</t>
  </si>
  <si>
    <t xml:space="preserve">Separate saves</t>
  </si>
  <si>
    <t xml:space="preserve">CHECK separate = 181,770</t>
  </si>
  <si>
    <t xml:space="preserve">CHECK joint = 199,770</t>
  </si>
  <si>
    <t xml:space="preserve">ANNUAL SURPLUS (parents, after tax and MPF)</t>
  </si>
  <si>
    <t xml:space="preserve">Gross income</t>
  </si>
  <si>
    <t xml:space="preserve">less tax</t>
  </si>
  <si>
    <t xml:space="preserve">less expenses</t>
  </si>
  <si>
    <t xml:space="preserve">SURPLUS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</si>
</sst>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#,##0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4" min="4" style="0" width="5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6" t="n">
        <v>0.025</v>
      </c>
      <c r="D5" s="7" t="s">
        <v>4</v>
      </c>
    </row>
    <row r="6" customFormat="false" ht="15" hidden="false" customHeight="false" outlineLevel="0" collapsed="false">
      <c r="A6" s="5" t="s">
        <v>5</v>
      </c>
      <c r="B6" s="6" t="n">
        <v>0.03</v>
      </c>
      <c r="D6" s="7" t="s">
        <v>6</v>
      </c>
    </row>
    <row r="7" customFormat="false" ht="15" hidden="false" customHeight="false" outlineLevel="0" collapsed="false">
      <c r="A7" s="5" t="s">
        <v>7</v>
      </c>
      <c r="B7" s="6" t="n">
        <v>0.03</v>
      </c>
      <c r="D7" s="7" t="s">
        <v>6</v>
      </c>
    </row>
    <row r="8" customFormat="false" ht="15" hidden="false" customHeight="false" outlineLevel="0" collapsed="false">
      <c r="A8" s="5" t="s">
        <v>8</v>
      </c>
      <c r="B8" s="6" t="n">
        <v>0.05</v>
      </c>
      <c r="D8" s="7" t="s">
        <v>6</v>
      </c>
    </row>
    <row r="9" customFormat="false" ht="15" hidden="false" customHeight="false" outlineLevel="0" collapsed="false">
      <c r="A9" s="3" t="s">
        <v>9</v>
      </c>
      <c r="B9" s="4"/>
      <c r="C9" s="4"/>
      <c r="D9" s="4"/>
    </row>
    <row r="10" customFormat="false" ht="15" hidden="false" customHeight="false" outlineLevel="0" collapsed="false">
      <c r="A10" s="5" t="s">
        <v>10</v>
      </c>
      <c r="B10" s="6" t="n">
        <v>0.06</v>
      </c>
      <c r="D10" s="7" t="s">
        <v>11</v>
      </c>
    </row>
    <row r="11" customFormat="false" ht="15" hidden="false" customHeight="false" outlineLevel="0" collapsed="false">
      <c r="A11" s="5" t="s">
        <v>12</v>
      </c>
      <c r="B11" s="6" t="n">
        <v>0.17</v>
      </c>
      <c r="D11" s="7" t="s">
        <v>13</v>
      </c>
    </row>
    <row r="12" customFormat="false" ht="15" hidden="false" customHeight="false" outlineLevel="0" collapsed="false">
      <c r="A12" s="5" t="s">
        <v>14</v>
      </c>
      <c r="B12" s="6" t="n">
        <v>0.04</v>
      </c>
      <c r="D12" s="7" t="s">
        <v>6</v>
      </c>
    </row>
    <row r="13" customFormat="false" ht="15" hidden="false" customHeight="false" outlineLevel="0" collapsed="false">
      <c r="A13" s="5" t="s">
        <v>15</v>
      </c>
      <c r="B13" s="6" t="n">
        <v>0.04</v>
      </c>
      <c r="D13" s="7" t="s">
        <v>16</v>
      </c>
    </row>
    <row r="14" customFormat="false" ht="15" hidden="false" customHeight="false" outlineLevel="0" collapsed="false">
      <c r="A14" s="5" t="s">
        <v>17</v>
      </c>
      <c r="B14" s="6" t="n">
        <v>0.05</v>
      </c>
      <c r="D14" s="7" t="s">
        <v>6</v>
      </c>
    </row>
    <row r="15" customFormat="false" ht="15" hidden="false" customHeight="false" outlineLevel="0" collapsed="false">
      <c r="A15" s="5" t="s">
        <v>18</v>
      </c>
      <c r="B15" s="6" t="n">
        <v>0.028</v>
      </c>
      <c r="D15" s="7" t="s">
        <v>19</v>
      </c>
    </row>
    <row r="16" customFormat="false" ht="15" hidden="false" customHeight="false" outlineLevel="0" collapsed="false">
      <c r="A16" s="5" t="s">
        <v>20</v>
      </c>
      <c r="B16" s="6" t="n">
        <v>0.002</v>
      </c>
      <c r="D16" s="7" t="s">
        <v>6</v>
      </c>
    </row>
    <row r="17" customFormat="false" ht="15" hidden="false" customHeight="false" outlineLevel="0" collapsed="false">
      <c r="A17" s="3" t="s">
        <v>21</v>
      </c>
      <c r="B17" s="4"/>
      <c r="C17" s="4"/>
      <c r="D17" s="4"/>
    </row>
    <row r="18" customFormat="false" ht="15" hidden="false" customHeight="false" outlineLevel="0" collapsed="false">
      <c r="A18" s="5" t="s">
        <v>22</v>
      </c>
      <c r="B18" s="8" t="n">
        <v>145000</v>
      </c>
      <c r="D18" s="7" t="s">
        <v>23</v>
      </c>
    </row>
    <row r="19" customFormat="false" ht="15" hidden="false" customHeight="false" outlineLevel="0" collapsed="false">
      <c r="A19" s="5" t="s">
        <v>24</v>
      </c>
      <c r="B19" s="8" t="n">
        <v>290000</v>
      </c>
      <c r="D19" s="7" t="s">
        <v>23</v>
      </c>
    </row>
    <row r="20" customFormat="false" ht="15" hidden="false" customHeight="false" outlineLevel="0" collapsed="false">
      <c r="A20" s="5" t="s">
        <v>25</v>
      </c>
      <c r="B20" s="8" t="n">
        <v>140000</v>
      </c>
      <c r="D20" s="7" t="s">
        <v>23</v>
      </c>
    </row>
    <row r="21" customFormat="false" ht="15" hidden="false" customHeight="false" outlineLevel="0" collapsed="false">
      <c r="A21" s="5" t="s">
        <v>26</v>
      </c>
      <c r="B21" s="8" t="n">
        <v>55000</v>
      </c>
      <c r="D21" s="7" t="s">
        <v>27</v>
      </c>
    </row>
    <row r="22" customFormat="false" ht="15" hidden="false" customHeight="false" outlineLevel="0" collapsed="false">
      <c r="A22" s="5" t="s">
        <v>28</v>
      </c>
      <c r="B22" s="8" t="n">
        <v>18000</v>
      </c>
      <c r="D22" s="7" t="s">
        <v>29</v>
      </c>
    </row>
    <row r="23" customFormat="false" ht="15" hidden="false" customHeight="false" outlineLevel="0" collapsed="false">
      <c r="A23" s="5" t="s">
        <v>30</v>
      </c>
      <c r="B23" s="6" t="n">
        <v>0.17</v>
      </c>
      <c r="D23" s="7" t="s">
        <v>31</v>
      </c>
    </row>
    <row r="24" customFormat="false" ht="15" hidden="false" customHeight="false" outlineLevel="0" collapsed="false">
      <c r="A24" s="5" t="s">
        <v>32</v>
      </c>
      <c r="B24" s="8" t="n">
        <v>16000</v>
      </c>
      <c r="D24" s="7" t="s">
        <v>33</v>
      </c>
    </row>
    <row r="25" customFormat="false" ht="15" hidden="false" customHeight="false" outlineLevel="0" collapsed="false">
      <c r="A25" s="5" t="s">
        <v>34</v>
      </c>
      <c r="B25" s="6" t="n">
        <v>0.035</v>
      </c>
      <c r="D25" s="7" t="s">
        <v>6</v>
      </c>
    </row>
    <row r="26" customFormat="false" ht="15" hidden="false" customHeight="false" outlineLevel="0" collapsed="false">
      <c r="A26" s="3" t="s">
        <v>35</v>
      </c>
      <c r="B26" s="4"/>
      <c r="C26" s="4"/>
      <c r="D26" s="4"/>
    </row>
    <row r="27" customFormat="false" ht="15" hidden="false" customHeight="false" outlineLevel="0" collapsed="false">
      <c r="A27" s="5" t="s">
        <v>36</v>
      </c>
      <c r="B27" s="8" t="n">
        <v>1050000</v>
      </c>
      <c r="D27" s="7" t="s">
        <v>37</v>
      </c>
    </row>
    <row r="28" customFormat="false" ht="15" hidden="false" customHeight="false" outlineLevel="0" collapsed="false">
      <c r="A28" s="5" t="s">
        <v>38</v>
      </c>
      <c r="B28" s="8" t="n">
        <v>150000</v>
      </c>
      <c r="D28" s="7" t="s">
        <v>39</v>
      </c>
    </row>
    <row r="29" customFormat="false" ht="15" hidden="false" customHeight="false" outlineLevel="0" collapsed="false">
      <c r="A29" s="5" t="s">
        <v>40</v>
      </c>
      <c r="B29" s="8" t="n">
        <v>720000</v>
      </c>
      <c r="D29" s="7" t="s">
        <v>41</v>
      </c>
    </row>
    <row r="30" customFormat="false" ht="15" hidden="false" customHeight="false" outlineLevel="0" collapsed="false">
      <c r="A30" s="5" t="s">
        <v>42</v>
      </c>
      <c r="B30" s="8" t="n">
        <v>300000</v>
      </c>
      <c r="D30" s="7" t="s">
        <v>43</v>
      </c>
    </row>
    <row r="31" customFormat="false" ht="15" hidden="false" customHeight="false" outlineLevel="0" collapsed="false">
      <c r="A31" s="5" t="s">
        <v>44</v>
      </c>
      <c r="B31" s="8" t="n">
        <v>984000</v>
      </c>
      <c r="D31" s="7" t="s">
        <v>45</v>
      </c>
    </row>
    <row r="32" customFormat="false" ht="15" hidden="false" customHeight="false" outlineLevel="0" collapsed="false">
      <c r="A32" s="5" t="s">
        <v>46</v>
      </c>
      <c r="B32" s="8" t="n">
        <v>780000</v>
      </c>
      <c r="D32" s="7" t="s">
        <v>37</v>
      </c>
    </row>
    <row r="33" customFormat="false" ht="15" hidden="false" customHeight="false" outlineLevel="0" collapsed="false">
      <c r="A33" s="5" t="s">
        <v>47</v>
      </c>
      <c r="B33" s="6" t="n">
        <v>0.4</v>
      </c>
      <c r="D33" s="7" t="s">
        <v>48</v>
      </c>
    </row>
    <row r="34" customFormat="false" ht="15" hidden="false" customHeight="false" outlineLevel="0" collapsed="false">
      <c r="A34" s="3" t="s">
        <v>49</v>
      </c>
      <c r="B34" s="4"/>
      <c r="C34" s="4"/>
      <c r="D34" s="4"/>
    </row>
    <row r="35" customFormat="false" ht="15" hidden="false" customHeight="false" outlineLevel="0" collapsed="false">
      <c r="A35" s="5" t="s">
        <v>50</v>
      </c>
      <c r="B35" s="9" t="n">
        <v>2026</v>
      </c>
      <c r="D35" s="7" t="s">
        <v>51</v>
      </c>
    </row>
    <row r="36" customFormat="false" ht="15" hidden="false" customHeight="false" outlineLevel="0" collapsed="false">
      <c r="A36" s="5" t="s">
        <v>52</v>
      </c>
      <c r="B36" s="9" t="n">
        <v>2037</v>
      </c>
      <c r="D36" s="7" t="s">
        <v>37</v>
      </c>
    </row>
    <row r="37" customFormat="false" ht="15" hidden="false" customHeight="false" outlineLevel="0" collapsed="false">
      <c r="A37" s="5" t="s">
        <v>53</v>
      </c>
      <c r="B37" s="9" t="n">
        <v>2039</v>
      </c>
      <c r="D37" s="7" t="s">
        <v>37</v>
      </c>
    </row>
    <row r="38" customFormat="false" ht="15" hidden="false" customHeight="false" outlineLevel="0" collapsed="false">
      <c r="A38" s="5" t="s">
        <v>54</v>
      </c>
      <c r="B38" s="9" t="n">
        <v>2028</v>
      </c>
      <c r="D38" s="7" t="s">
        <v>55</v>
      </c>
    </row>
    <row r="39" customFormat="false" ht="15" hidden="false" customHeight="false" outlineLevel="0" collapsed="false">
      <c r="A39" s="5" t="s">
        <v>56</v>
      </c>
      <c r="B39" s="9" t="n">
        <v>2066</v>
      </c>
      <c r="D39" s="7" t="s">
        <v>57</v>
      </c>
    </row>
    <row r="40" customFormat="false" ht="15" hidden="false" customHeight="false" outlineLevel="0" collapsed="false">
      <c r="A40" s="5" t="s">
        <v>58</v>
      </c>
      <c r="B40" s="9" t="n">
        <v>2072</v>
      </c>
      <c r="D40" s="7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5"/>
  </cols>
  <sheetData>
    <row r="1" customFormat="false" ht="16.15" hidden="false" customHeight="false" outlineLevel="0" collapsed="false">
      <c r="A1" s="1" t="s">
        <v>60</v>
      </c>
    </row>
    <row r="3" customFormat="false" ht="15" hidden="false" customHeight="false" outlineLevel="0" collapsed="false">
      <c r="A3" s="3" t="s">
        <v>61</v>
      </c>
      <c r="B3" s="4"/>
    </row>
    <row r="4" customFormat="false" ht="15" hidden="false" customHeight="false" outlineLevel="0" collapsed="false">
      <c r="A4" s="5" t="s">
        <v>62</v>
      </c>
      <c r="B4" s="8" t="n">
        <v>620000</v>
      </c>
    </row>
    <row r="5" customFormat="false" ht="15" hidden="false" customHeight="false" outlineLevel="0" collapsed="false">
      <c r="A5" s="5" t="s">
        <v>63</v>
      </c>
      <c r="B5" s="8" t="n">
        <v>1480000</v>
      </c>
    </row>
    <row r="6" customFormat="false" ht="15" hidden="false" customHeight="false" outlineLevel="0" collapsed="false">
      <c r="A6" s="5" t="s">
        <v>64</v>
      </c>
      <c r="B6" s="8" t="n">
        <v>400000</v>
      </c>
    </row>
    <row r="7" customFormat="false" ht="15" hidden="false" customHeight="false" outlineLevel="0" collapsed="false">
      <c r="A7" s="10" t="s">
        <v>65</v>
      </c>
      <c r="B7" s="11" t="n">
        <f aca="false">SUM(B4:B6)</f>
        <v>2500000</v>
      </c>
    </row>
    <row r="8" customFormat="false" ht="15" hidden="false" customHeight="false" outlineLevel="0" collapsed="false">
      <c r="A8" s="3" t="s">
        <v>66</v>
      </c>
      <c r="B8" s="4"/>
    </row>
    <row r="9" customFormat="false" ht="15" hidden="false" customHeight="false" outlineLevel="0" collapsed="false">
      <c r="A9" s="5" t="s">
        <v>67</v>
      </c>
      <c r="B9" s="8" t="n">
        <v>1000000</v>
      </c>
    </row>
    <row r="10" customFormat="false" ht="15" hidden="false" customHeight="false" outlineLevel="0" collapsed="false">
      <c r="A10" s="5" t="s">
        <v>68</v>
      </c>
      <c r="B10" s="8" t="n">
        <v>1350000</v>
      </c>
    </row>
    <row r="11" customFormat="false" ht="15" hidden="false" customHeight="false" outlineLevel="0" collapsed="false">
      <c r="A11" s="5" t="s">
        <v>69</v>
      </c>
      <c r="B11" s="8" t="n">
        <v>900000</v>
      </c>
    </row>
    <row r="12" customFormat="false" ht="15" hidden="false" customHeight="false" outlineLevel="0" collapsed="false">
      <c r="A12" s="5" t="s">
        <v>70</v>
      </c>
      <c r="B12" s="8" t="n">
        <v>700000</v>
      </c>
    </row>
    <row r="13" customFormat="false" ht="15" hidden="false" customHeight="false" outlineLevel="0" collapsed="false">
      <c r="A13" s="5" t="s">
        <v>71</v>
      </c>
      <c r="B13" s="8" t="n">
        <v>450000</v>
      </c>
    </row>
    <row r="14" customFormat="false" ht="15" hidden="false" customHeight="false" outlineLevel="0" collapsed="false">
      <c r="A14" s="5" t="s">
        <v>72</v>
      </c>
      <c r="B14" s="8" t="n">
        <v>800000</v>
      </c>
    </row>
    <row r="15" customFormat="false" ht="15" hidden="false" customHeight="false" outlineLevel="0" collapsed="false">
      <c r="A15" s="5" t="s">
        <v>73</v>
      </c>
      <c r="B15" s="8" t="n">
        <v>1050000</v>
      </c>
    </row>
    <row r="16" customFormat="false" ht="15" hidden="false" customHeight="false" outlineLevel="0" collapsed="false">
      <c r="A16" s="5" t="s">
        <v>74</v>
      </c>
      <c r="B16" s="8" t="n">
        <v>620000</v>
      </c>
    </row>
    <row r="17" customFormat="false" ht="15" hidden="false" customHeight="false" outlineLevel="0" collapsed="false">
      <c r="A17" s="5" t="s">
        <v>75</v>
      </c>
      <c r="B17" s="8" t="n">
        <v>180000</v>
      </c>
    </row>
    <row r="18" customFormat="false" ht="15" hidden="false" customHeight="false" outlineLevel="0" collapsed="false">
      <c r="A18" s="5" t="s">
        <v>76</v>
      </c>
      <c r="B18" s="8" t="n">
        <v>500000</v>
      </c>
    </row>
    <row r="19" customFormat="false" ht="15" hidden="false" customHeight="false" outlineLevel="0" collapsed="false">
      <c r="A19" s="5" t="s">
        <v>77</v>
      </c>
      <c r="B19" s="8" t="n">
        <v>420000</v>
      </c>
    </row>
    <row r="20" customFormat="false" ht="15" hidden="false" customHeight="false" outlineLevel="0" collapsed="false">
      <c r="A20" s="10" t="s">
        <v>78</v>
      </c>
      <c r="B20" s="11" t="n">
        <f aca="false">SUM(B9:B19)</f>
        <v>7970000</v>
      </c>
    </row>
    <row r="21" customFormat="false" ht="15" hidden="false" customHeight="false" outlineLevel="0" collapsed="false">
      <c r="A21" s="3" t="s">
        <v>79</v>
      </c>
      <c r="B21" s="4"/>
    </row>
    <row r="22" customFormat="false" ht="15" hidden="false" customHeight="false" outlineLevel="0" collapsed="false">
      <c r="A22" s="5" t="s">
        <v>80</v>
      </c>
      <c r="B22" s="8" t="n">
        <v>11500000</v>
      </c>
    </row>
    <row r="23" customFormat="false" ht="15" hidden="false" customHeight="false" outlineLevel="0" collapsed="false">
      <c r="A23" s="5" t="s">
        <v>81</v>
      </c>
      <c r="B23" s="8" t="n">
        <v>5000000</v>
      </c>
    </row>
    <row r="24" customFormat="false" ht="15" hidden="false" customHeight="false" outlineLevel="0" collapsed="false">
      <c r="A24" s="5" t="s">
        <v>82</v>
      </c>
      <c r="B24" s="8" t="n">
        <v>220000</v>
      </c>
    </row>
    <row r="25" customFormat="false" ht="15" hidden="false" customHeight="false" outlineLevel="0" collapsed="false">
      <c r="A25" s="10" t="s">
        <v>83</v>
      </c>
      <c r="B25" s="11" t="n">
        <f aca="false">SUM(B22:B24)</f>
        <v>16720000</v>
      </c>
    </row>
    <row r="26" customFormat="false" ht="15" hidden="false" customHeight="false" outlineLevel="0" collapsed="false">
      <c r="A26" s="3" t="s">
        <v>84</v>
      </c>
      <c r="B26" s="4"/>
    </row>
    <row r="27" customFormat="false" ht="15" hidden="false" customHeight="false" outlineLevel="0" collapsed="false">
      <c r="A27" s="5" t="s">
        <v>85</v>
      </c>
      <c r="B27" s="8" t="n">
        <v>1800000</v>
      </c>
    </row>
    <row r="28" customFormat="false" ht="15" hidden="false" customHeight="false" outlineLevel="0" collapsed="false">
      <c r="A28" s="5" t="s">
        <v>86</v>
      </c>
      <c r="B28" s="8" t="n">
        <v>900000</v>
      </c>
    </row>
    <row r="29" customFormat="false" ht="15" hidden="false" customHeight="false" outlineLevel="0" collapsed="false">
      <c r="A29" s="5" t="s">
        <v>87</v>
      </c>
      <c r="B29" s="8" t="n">
        <v>85000</v>
      </c>
    </row>
    <row r="30" customFormat="false" ht="15" hidden="false" customHeight="false" outlineLevel="0" collapsed="false">
      <c r="A30" s="10" t="s">
        <v>88</v>
      </c>
      <c r="B30" s="11" t="n">
        <f aca="false">SUM(B27:B29)</f>
        <v>2785000</v>
      </c>
    </row>
    <row r="32" customFormat="false" ht="15" hidden="false" customHeight="false" outlineLevel="0" collapsed="false">
      <c r="A32" s="10" t="s">
        <v>89</v>
      </c>
      <c r="B32" s="12" t="n">
        <f aca="false">B7+B20+B25</f>
        <v>27190000</v>
      </c>
    </row>
    <row r="33" customFormat="false" ht="15" hidden="false" customHeight="false" outlineLevel="0" collapsed="false">
      <c r="A33" s="10" t="s">
        <v>90</v>
      </c>
      <c r="B33" s="12" t="n">
        <f aca="false">B32-B30</f>
        <v>24405000</v>
      </c>
    </row>
    <row r="35" customFormat="false" ht="15" hidden="false" customHeight="false" outlineLevel="0" collapsed="false">
      <c r="A35" s="10" t="s">
        <v>91</v>
      </c>
      <c r="B35" s="13" t="n">
        <f aca="false">B33-24405000</f>
        <v>0</v>
      </c>
    </row>
    <row r="37" customFormat="false" ht="15" hidden="false" customHeight="false" outlineLevel="0" collapsed="false">
      <c r="A37" s="10" t="s">
        <v>92</v>
      </c>
      <c r="B37" s="12" t="n">
        <f aca="false">B7+B20-B17-B18</f>
        <v>9790000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0" t="s">
        <v>95</v>
      </c>
      <c r="B4" s="14" t="n">
        <f aca="false">BalanceSheet!B27*Inputs!$B$25</f>
        <v>63000</v>
      </c>
    </row>
    <row r="6" customFormat="false" ht="15" hidden="false" customHeight="false" outlineLevel="0" collapsed="false">
      <c r="A6" s="15"/>
      <c r="B6" s="15" t="s">
        <v>96</v>
      </c>
      <c r="C6" s="15" t="s">
        <v>97</v>
      </c>
      <c r="D6" s="15" t="s">
        <v>98</v>
      </c>
      <c r="E6" s="15" t="s">
        <v>99</v>
      </c>
    </row>
    <row r="7" customFormat="false" ht="15" hidden="false" customHeight="false" outlineLevel="0" collapsed="false">
      <c r="A7" s="5" t="s">
        <v>100</v>
      </c>
      <c r="B7" s="16" t="n">
        <f aca="false">Inputs!$B$27+Inputs!$B$28</f>
        <v>1200000</v>
      </c>
      <c r="C7" s="16" t="n">
        <f aca="false">Inputs!$B$29</f>
        <v>720000</v>
      </c>
      <c r="D7" s="16" t="n">
        <f aca="false">B7+C7</f>
        <v>1920000</v>
      </c>
      <c r="E7" s="16" t="n">
        <f aca="false">Inputs!$B$30</f>
        <v>300000</v>
      </c>
    </row>
    <row r="8" customFormat="false" ht="15" hidden="false" customHeight="false" outlineLevel="0" collapsed="false">
      <c r="A8" s="5" t="s">
        <v>101</v>
      </c>
      <c r="B8" s="16" t="n">
        <f aca="false">-Inputs!$B$22</f>
        <v>-18000</v>
      </c>
      <c r="C8" s="16" t="n">
        <f aca="false">-Inputs!$B$22</f>
        <v>-18000</v>
      </c>
      <c r="D8" s="16" t="n">
        <f aca="false">B8+C8</f>
        <v>-36000</v>
      </c>
      <c r="E8" s="16" t="n">
        <f aca="false">-MIN(Inputs!$B$22,E7*0.05)</f>
        <v>-15000</v>
      </c>
    </row>
    <row r="9" customFormat="false" ht="15" hidden="false" customHeight="false" outlineLevel="0" collapsed="false">
      <c r="A9" s="5" t="s">
        <v>102</v>
      </c>
      <c r="B9" s="16" t="n">
        <f aca="false">-$B$4/2</f>
        <v>-31500</v>
      </c>
      <c r="C9" s="16" t="n">
        <f aca="false">-$B$4/2</f>
        <v>-31500</v>
      </c>
      <c r="D9" s="16" t="n">
        <f aca="false">B9+C9</f>
        <v>-63000</v>
      </c>
      <c r="E9" s="16" t="n">
        <v>0</v>
      </c>
    </row>
    <row r="10" customFormat="false" ht="15" hidden="false" customHeight="false" outlineLevel="0" collapsed="false">
      <c r="A10" s="5" t="s">
        <v>103</v>
      </c>
      <c r="B10" s="16" t="n">
        <f aca="false">SUM(B7:B9)</f>
        <v>1150500</v>
      </c>
      <c r="C10" s="16" t="n">
        <f aca="false">SUM(C7:C9)</f>
        <v>670500</v>
      </c>
      <c r="D10" s="16" t="n">
        <f aca="false">SUM(D7:D9)</f>
        <v>1821000</v>
      </c>
      <c r="E10" s="16" t="n">
        <f aca="false">SUM(E7:E9)</f>
        <v>285000</v>
      </c>
    </row>
    <row r="11" customFormat="false" ht="15" hidden="false" customHeight="false" outlineLevel="0" collapsed="false">
      <c r="A11" s="5" t="s">
        <v>104</v>
      </c>
      <c r="B11" s="16" t="n">
        <f aca="false">-(Inputs!$B$18+Inputs!$B$20+2*Inputs!$B$21)</f>
        <v>-395000</v>
      </c>
      <c r="C11" s="16" t="n">
        <f aca="false">-Inputs!$B$18</f>
        <v>-145000</v>
      </c>
      <c r="D11" s="16" t="n">
        <f aca="false">-(Inputs!$B$19+Inputs!$B$20+2*Inputs!$B$21)</f>
        <v>-540000</v>
      </c>
      <c r="E11" s="16" t="n">
        <f aca="false">-Inputs!$B$18</f>
        <v>-145000</v>
      </c>
    </row>
    <row r="12" customFormat="false" ht="15" hidden="false" customHeight="false" outlineLevel="0" collapsed="false">
      <c r="A12" s="5" t="s">
        <v>105</v>
      </c>
      <c r="B12" s="16" t="n">
        <f aca="false">MAX(B10+B11,0)</f>
        <v>755500</v>
      </c>
      <c r="C12" s="16" t="n">
        <f aca="false">MAX(C10+C11,0)</f>
        <v>525500</v>
      </c>
      <c r="D12" s="16" t="n">
        <f aca="false">MAX(D10+D11,0)</f>
        <v>1281000</v>
      </c>
      <c r="E12" s="16" t="n">
        <f aca="false">MAX(E10+E11,0)</f>
        <v>140000</v>
      </c>
    </row>
    <row r="13" customFormat="false" ht="15" hidden="false" customHeight="false" outlineLevel="0" collapsed="false">
      <c r="A13" s="5" t="s">
        <v>106</v>
      </c>
      <c r="B13" s="11" t="n">
        <f aca="false">IF(B12&gt;200000,Inputs!$B$24+(B12-200000)*Inputs!$B$23,IF(B12&gt;150000,9000+(B12-150000)*0.14,IF(B12&gt;100000,4000+(B12-100000)*0.1,IF(B12&gt;50000,1000+(B12-50000)*0.06,B12*0.02))))</f>
        <v>110435</v>
      </c>
      <c r="C13" s="11" t="n">
        <f aca="false">IF(C12&gt;200000,Inputs!$B$24+(C12-200000)*Inputs!$B$23,IF(C12&gt;150000,9000+(C12-150000)*0.14,IF(C12&gt;100000,4000+(C12-100000)*0.1,IF(C12&gt;50000,1000+(C12-50000)*0.06,C12*0.02))))</f>
        <v>71335</v>
      </c>
      <c r="D13" s="11" t="n">
        <f aca="false">IF(D12&gt;200000,Inputs!$B$24+(D12-200000)*Inputs!$B$23,IF(D12&gt;150000,9000+(D12-150000)*0.14,IF(D12&gt;100000,4000+(D12-100000)*0.1,IF(D12&gt;50000,1000+(D12-50000)*0.06,D12*0.02))))</f>
        <v>199770</v>
      </c>
      <c r="E13" s="11" t="n">
        <f aca="false">IF(E12&gt;200000,Inputs!$B$24+(E12-200000)*Inputs!$B$23,IF(E12&gt;150000,9000+(E12-150000)*0.14,IF(E12&gt;100000,4000+(E12-100000)*0.1,IF(E12&gt;50000,1000+(E12-50000)*0.06,E12*0.02))))</f>
        <v>8000</v>
      </c>
    </row>
    <row r="15" customFormat="false" ht="15" hidden="false" customHeight="false" outlineLevel="0" collapsed="false">
      <c r="A15" s="0" t="s">
        <v>107</v>
      </c>
      <c r="B15" s="17" t="n">
        <f aca="false">B13+C13</f>
        <v>181770</v>
      </c>
    </row>
    <row r="16" customFormat="false" ht="15" hidden="false" customHeight="false" outlineLevel="0" collapsed="false">
      <c r="A16" s="0" t="s">
        <v>108</v>
      </c>
      <c r="B16" s="12" t="n">
        <f aca="false">D13</f>
        <v>199770</v>
      </c>
    </row>
    <row r="17" customFormat="false" ht="15" hidden="false" customHeight="false" outlineLevel="0" collapsed="false">
      <c r="A17" s="0" t="s">
        <v>109</v>
      </c>
      <c r="B17" s="12" t="n">
        <f aca="false">B16-B15</f>
        <v>18000</v>
      </c>
    </row>
    <row r="19" customFormat="false" ht="15" hidden="false" customHeight="false" outlineLevel="0" collapsed="false">
      <c r="A19" s="0" t="s">
        <v>110</v>
      </c>
      <c r="B19" s="13" t="n">
        <f aca="false">B15-181770</f>
        <v>0</v>
      </c>
    </row>
    <row r="20" customFormat="false" ht="15" hidden="false" customHeight="false" outlineLevel="0" collapsed="false">
      <c r="A20" s="0" t="s">
        <v>111</v>
      </c>
      <c r="B20" s="13" t="n">
        <f aca="false">B16-199770</f>
        <v>0</v>
      </c>
    </row>
    <row r="22" customFormat="false" ht="15" hidden="false" customHeight="false" outlineLevel="0" collapsed="false">
      <c r="A22" s="10" t="s">
        <v>112</v>
      </c>
    </row>
    <row r="23" customFormat="false" ht="15" hidden="false" customHeight="false" outlineLevel="0" collapsed="false">
      <c r="A23" s="5" t="s">
        <v>113</v>
      </c>
      <c r="B23" s="14" t="n">
        <f aca="false">D7</f>
        <v>1920000</v>
      </c>
    </row>
    <row r="24" customFormat="false" ht="15" hidden="false" customHeight="false" outlineLevel="0" collapsed="false">
      <c r="A24" s="5" t="s">
        <v>114</v>
      </c>
      <c r="B24" s="14" t="n">
        <f aca="false">-B15</f>
        <v>-181770</v>
      </c>
    </row>
    <row r="25" customFormat="false" ht="15" hidden="false" customHeight="false" outlineLevel="0" collapsed="false">
      <c r="A25" s="5" t="s">
        <v>101</v>
      </c>
      <c r="B25" s="14" t="n">
        <f aca="false">D8</f>
        <v>-36000</v>
      </c>
    </row>
    <row r="26" customFormat="false" ht="15" hidden="false" customHeight="false" outlineLevel="0" collapsed="false">
      <c r="A26" s="5" t="s">
        <v>115</v>
      </c>
      <c r="B26" s="14" t="n">
        <f aca="false">-Inputs!$B$31</f>
        <v>-984000</v>
      </c>
    </row>
    <row r="27" customFormat="false" ht="15" hidden="false" customHeight="false" outlineLevel="0" collapsed="false">
      <c r="A27" s="5" t="s">
        <v>116</v>
      </c>
      <c r="B27" s="17" t="n">
        <f aca="false">SUM(B23:B26)</f>
        <v>718230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2026-09-27T09:17:20Z</dcterms:created>
  <dc:creator>openpyxl</dc:creator>
  <dc:description/>
  <dc:language>en-US</dc:language>
  <cp:lastModifiedBy/>
  <dcterms:modified xsi:type="dcterms:W3CDTF">2026-09-27T09:17:20Z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